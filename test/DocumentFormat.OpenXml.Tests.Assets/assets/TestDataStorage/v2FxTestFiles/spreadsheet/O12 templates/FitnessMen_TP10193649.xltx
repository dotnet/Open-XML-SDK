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150" yWindow="-15" windowWidth="14580" windowHeight="8175" tabRatio="603"/>
  </bookViews>
  <sheets>
    <sheet name="Data Table" sheetId="4" r:id="rId1"/>
    <sheet name="Measurements" sheetId="12" r:id="rId2"/>
    <sheet name="Weight - BMI" sheetId="13" r:id="rId3"/>
    <sheet name="Weight - Body Fat" sheetId="15" r:id="rId4"/>
  </sheets>
  <calcPr calcId="124519"/>
  <webPublishing codePage="1252"/>
</workbook>
</file>

<file path=xl/calcChain.xml><?xml version="1.0" encoding="utf-8"?>
<calcChain xmlns="http://schemas.openxmlformats.org/spreadsheetml/2006/main">
  <c r="F7" i="4"/>
  <c r="G7" s="1"/>
  <c r="H7" s="1"/>
  <c r="F8"/>
  <c r="F9"/>
  <c r="G9" s="1"/>
  <c r="H9" s="1"/>
  <c r="F10"/>
  <c r="F11"/>
  <c r="G11" s="1"/>
  <c r="H11" s="1"/>
  <c r="I9"/>
  <c r="I10"/>
  <c r="I11"/>
  <c r="I8"/>
  <c r="I7"/>
  <c r="G10"/>
  <c r="H10" s="1"/>
  <c r="G8"/>
  <c r="H8" s="1"/>
</calcChain>
</file>

<file path=xl/sharedStrings.xml><?xml version="1.0" encoding="utf-8"?>
<sst xmlns="http://schemas.openxmlformats.org/spreadsheetml/2006/main" count="12" uniqueCount="12">
  <si>
    <t>Height (inches)</t>
  </si>
  <si>
    <t>Date</t>
  </si>
  <si>
    <t>Height (feet)</t>
  </si>
  <si>
    <t>Fitness Progress Chart for Men</t>
  </si>
  <si>
    <t>Weight (pounds)</t>
  </si>
  <si>
    <t>Chest (inches)</t>
  </si>
  <si>
    <t>Waist (inches)</t>
  </si>
  <si>
    <t>Hips (inches)</t>
  </si>
  <si>
    <t>Estimated Lean Body Weight</t>
  </si>
  <si>
    <t>Estimated Body Fat Weight</t>
  </si>
  <si>
    <t>Estimated Body Fat Percentage</t>
  </si>
  <si>
    <t>Estimated Body Mass Index (BMI)</t>
  </si>
</sst>
</file>

<file path=xl/styles.xml><?xml version="1.0" encoding="utf-8"?>
<styleSheet xmlns="http://schemas.openxmlformats.org/spreadsheetml/2006/main">
  <numFmts count="1">
    <numFmt numFmtId="164" formatCode="0.0"/>
  </numFmts>
  <fonts count="8">
    <font>
      <sz val="8"/>
      <color theme="1"/>
      <name val="Calibri"/>
      <family val="2"/>
      <scheme val="minor"/>
    </font>
    <font>
      <sz val="8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20"/>
      <name val="Cambria"/>
      <family val="1"/>
      <scheme val="major"/>
    </font>
    <font>
      <sz val="20"/>
      <color theme="1" tint="0.249977111117893"/>
      <name val="Cambria"/>
      <family val="1"/>
      <scheme val="major"/>
    </font>
    <font>
      <sz val="8"/>
      <color theme="1" tint="0.249977111117893"/>
      <name val="Calibri"/>
      <family val="2"/>
      <scheme val="minor"/>
    </font>
    <font>
      <b/>
      <sz val="8"/>
      <color theme="0"/>
      <name val="Cambria"/>
      <family val="1"/>
      <scheme val="maj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</borders>
  <cellStyleXfs count="1">
    <xf numFmtId="164" fontId="0" fillId="0" borderId="0">
      <alignment horizontal="left" vertical="center"/>
    </xf>
  </cellStyleXfs>
  <cellXfs count="20">
    <xf numFmtId="164" fontId="0" fillId="0" borderId="0" xfId="0">
      <alignment horizontal="left" vertical="center"/>
    </xf>
    <xf numFmtId="164" fontId="3" fillId="0" borderId="0" xfId="0" applyFont="1" applyFill="1" applyBorder="1" applyAlignment="1">
      <alignment horizontal="left" wrapText="1"/>
    </xf>
    <xf numFmtId="164" fontId="2" fillId="0" borderId="0" xfId="0" applyFont="1" applyFill="1" applyBorder="1" applyAlignment="1">
      <alignment vertical="center"/>
    </xf>
    <xf numFmtId="164" fontId="2" fillId="0" borderId="0" xfId="0" applyFont="1" applyFill="1" applyBorder="1" applyAlignment="1">
      <alignment horizontal="left"/>
    </xf>
    <xf numFmtId="164" fontId="2" fillId="0" borderId="0" xfId="0" applyFont="1" applyFill="1" applyBorder="1">
      <alignment horizontal="left" vertical="center"/>
    </xf>
    <xf numFmtId="164" fontId="2" fillId="0" borderId="0" xfId="0" applyFont="1" applyFill="1" applyBorder="1" applyAlignment="1"/>
    <xf numFmtId="164" fontId="2" fillId="0" borderId="0" xfId="0" applyFont="1" applyFill="1" applyBorder="1" applyAlignment="1">
      <alignment horizontal="left" vertical="top"/>
    </xf>
    <xf numFmtId="164" fontId="0" fillId="0" borderId="0" xfId="0" applyAlignment="1">
      <alignment horizontal="left" vertical="top"/>
    </xf>
    <xf numFmtId="164" fontId="2" fillId="0" borderId="5" xfId="0" applyFont="1" applyFill="1" applyBorder="1" applyAlignment="1">
      <alignment horizontal="left"/>
    </xf>
    <xf numFmtId="1" fontId="6" fillId="0" borderId="2" xfId="0" applyNumberFormat="1" applyFont="1" applyBorder="1" applyAlignment="1">
      <alignment horizontal="left"/>
    </xf>
    <xf numFmtId="164" fontId="6" fillId="0" borderId="4" xfId="0" applyFont="1" applyBorder="1" applyAlignment="1">
      <alignment horizontal="left" vertical="top"/>
    </xf>
    <xf numFmtId="0" fontId="6" fillId="0" borderId="1" xfId="0" applyNumberFormat="1" applyFont="1" applyBorder="1" applyAlignment="1">
      <alignment horizontal="left" indent="1"/>
    </xf>
    <xf numFmtId="0" fontId="6" fillId="0" borderId="3" xfId="0" applyNumberFormat="1" applyFont="1" applyBorder="1" applyAlignment="1">
      <alignment horizontal="left" vertical="top" indent="1"/>
    </xf>
    <xf numFmtId="164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0" fontId="0" fillId="0" borderId="0" xfId="0" applyNumberForma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NumberFormat="1" applyFont="1" applyAlignment="1">
      <alignment vertical="center" wrapText="1"/>
    </xf>
    <xf numFmtId="0" fontId="5" fillId="0" borderId="0" xfId="0" applyNumberFormat="1" applyFont="1" applyFill="1" applyBorder="1" applyAlignment="1">
      <alignment horizontal="left"/>
    </xf>
    <xf numFmtId="0" fontId="4" fillId="0" borderId="0" xfId="0" applyNumberFormat="1" applyFont="1" applyFill="1" applyBorder="1" applyAlignment="1">
      <alignment horizontal="left"/>
    </xf>
  </cellXfs>
  <cellStyles count="1">
    <cellStyle name="Normal" xfId="0" builtinId="0" customBuiltin="1"/>
  </cellStyles>
  <dxfs count="14">
    <dxf>
      <numFmt numFmtId="2" formatCode="0.00"/>
      <alignment horizontal="general" vertical="center" textRotation="0" wrapText="0" indent="0" relativeIndent="255" justifyLastLine="0" shrinkToFit="0" mergeCell="0" readingOrder="0"/>
    </dxf>
    <dxf>
      <numFmt numFmtId="164" formatCode="0.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255" justifyLastLine="0" shrinkToFit="0" mergeCell="0" readingOrder="0"/>
    </dxf>
    <dxf>
      <numFmt numFmtId="164" formatCode="0.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255" justifyLastLine="0" shrinkToFit="0" mergeCell="0" readingOrder="0"/>
    </dxf>
    <dxf>
      <numFmt numFmtId="19" formatCode="m/d/yyyy"/>
      <alignment horizontal="general" vertical="center" textRotation="0" wrapText="0" indent="0" relativeIndent="255" justifyLastLine="0" shrinkToFit="0" mergeCell="0" readingOrder="0"/>
    </dxf>
    <dxf>
      <numFmt numFmtId="0" formatCode="General"/>
      <alignment horizontal="general" vertical="center" textRotation="0" wrapText="1" indent="0" relativeIndent="255" justifyLastLine="0" shrinkToFit="0" mergeCell="0" readingOrder="0"/>
    </dxf>
    <dxf>
      <fill>
        <patternFill>
          <bgColor theme="4" tint="0.79998168889431442"/>
        </patternFill>
      </fill>
      <border diagonalUp="0" diagonalDown="0"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4" tint="0.59996337778862885"/>
        </patternFill>
      </fill>
      <border diagonalUp="0" diagonalDown="0"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sz val="8"/>
        <color theme="0"/>
      </font>
      <fill>
        <patternFill>
          <bgColor theme="1" tint="0.499984740745262"/>
        </patternFill>
      </fill>
      <border diagonalUp="0" diagonalDown="0">
        <bottom style="thick">
          <color theme="0"/>
        </bottom>
      </border>
    </dxf>
    <dxf>
      <font>
        <sz val="8"/>
        <color theme="1" tint="0.24994659260841701"/>
      </font>
    </dxf>
  </dxfs>
  <tableStyles count="1" defaultTableStyle="TableStyleMedium9" defaultPivotStyle="PivotStyleLight16">
    <tableStyle name="Fitness Progress Chart" pivot="0" count="4">
      <tableStyleElement type="wholeTable" dxfId="13"/>
      <tableStyleElement type="headerRow" dxfId="12"/>
      <tableStyleElement type="firstRowStripe" dxfId="11"/>
      <tableStyleElement type="secondRowStripe" dxfId="1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E3E7EF"/>
      <rgbColor rgb="006C52AE"/>
      <rgbColor rgb="00F1F3F7"/>
      <rgbColor rgb="00EAEAEA"/>
      <rgbColor rgb="00D3D9EC"/>
      <rgbColor rgb="00800000"/>
      <rgbColor rgb="00008000"/>
      <rgbColor rgb="00000080"/>
      <rgbColor rgb="00808000"/>
      <rgbColor rgb="00800080"/>
      <rgbColor rgb="00C3BCD4"/>
      <rgbColor rgb="00C0C0C0"/>
      <rgbColor rgb="00CEE0B8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4D80C"/>
      <rgbColor rgb="0000FFFF"/>
      <rgbColor rgb="00800080"/>
      <rgbColor rgb="00800000"/>
      <rgbColor rgb="00008080"/>
      <rgbColor rgb="000000FF"/>
      <rgbColor rgb="00C2CADC"/>
      <rgbColor rgb="00A0C4C2"/>
      <rgbColor rgb="00B0CEC5"/>
      <rgbColor rgb="00C2CBDC"/>
      <rgbColor rgb="0097BCC2"/>
      <rgbColor rgb="00FF99CC"/>
      <rgbColor rgb="00CC99FF"/>
      <rgbColor rgb="00FFFAE3"/>
      <rgbColor rgb="003366FF"/>
      <rgbColor rgb="0033CCCC"/>
      <rgbColor rgb="0099CC00"/>
      <rgbColor rgb="00FAFBFC"/>
      <rgbColor rgb="00FF9900"/>
      <rgbColor rgb="00FF6600"/>
      <rgbColor rgb="00E3ECF7"/>
      <rgbColor rgb="00969696"/>
      <rgbColor rgb="00003366"/>
      <rgbColor rgb="00339966"/>
      <rgbColor rgb="000058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"/>
  <c:chart>
    <c:title>
      <c:tx>
        <c:rich>
          <a:bodyPr/>
          <a:lstStyle/>
          <a:p>
            <a:pPr>
              <a:defRPr/>
            </a:pPr>
            <a:r>
              <a:rPr lang="en-US"/>
              <a:t>Measurements</a:t>
            </a:r>
          </a:p>
        </c:rich>
      </c:tx>
    </c:title>
    <c:view3D>
      <c:rotX val="0"/>
      <c:perspective val="30"/>
    </c:view3D>
    <c:plotArea>
      <c:layout/>
      <c:line3DChart>
        <c:grouping val="standard"/>
        <c:ser>
          <c:idx val="0"/>
          <c:order val="0"/>
          <c:tx>
            <c:strRef>
              <c:f>'Data Table'!$C$6</c:f>
              <c:strCache>
                <c:ptCount val="1"/>
                <c:pt idx="0">
                  <c:v>Chest (inches)</c:v>
                </c:pt>
              </c:strCache>
            </c:strRef>
          </c:tx>
          <c:cat>
            <c:numRef>
              <c:f>'Data Table'!$A$7:$A$11</c:f>
              <c:numCache>
                <c:formatCode>m/d/yyyy</c:formatCode>
                <c:ptCount val="5"/>
                <c:pt idx="0">
                  <c:v>39083</c:v>
                </c:pt>
                <c:pt idx="1">
                  <c:v>39090</c:v>
                </c:pt>
                <c:pt idx="2">
                  <c:v>39097</c:v>
                </c:pt>
                <c:pt idx="3">
                  <c:v>39104</c:v>
                </c:pt>
                <c:pt idx="4">
                  <c:v>39111</c:v>
                </c:pt>
              </c:numCache>
            </c:numRef>
          </c:cat>
          <c:val>
            <c:numRef>
              <c:f>'Data Table'!$C$7:$C$11</c:f>
              <c:numCache>
                <c:formatCode>0.0</c:formatCode>
                <c:ptCount val="5"/>
                <c:pt idx="0">
                  <c:v>42</c:v>
                </c:pt>
                <c:pt idx="1">
                  <c:v>42</c:v>
                </c:pt>
                <c:pt idx="2">
                  <c:v>42</c:v>
                </c:pt>
                <c:pt idx="3">
                  <c:v>42</c:v>
                </c:pt>
                <c:pt idx="4">
                  <c:v>42.5</c:v>
                </c:pt>
              </c:numCache>
            </c:numRef>
          </c:val>
        </c:ser>
        <c:ser>
          <c:idx val="1"/>
          <c:order val="1"/>
          <c:tx>
            <c:strRef>
              <c:f>'Data Table'!$D$6</c:f>
              <c:strCache>
                <c:ptCount val="1"/>
                <c:pt idx="0">
                  <c:v>Waist (inches)</c:v>
                </c:pt>
              </c:strCache>
            </c:strRef>
          </c:tx>
          <c:cat>
            <c:numRef>
              <c:f>'Data Table'!$A$7:$A$11</c:f>
              <c:numCache>
                <c:formatCode>m/d/yyyy</c:formatCode>
                <c:ptCount val="5"/>
                <c:pt idx="0">
                  <c:v>39083</c:v>
                </c:pt>
                <c:pt idx="1">
                  <c:v>39090</c:v>
                </c:pt>
                <c:pt idx="2">
                  <c:v>39097</c:v>
                </c:pt>
                <c:pt idx="3">
                  <c:v>39104</c:v>
                </c:pt>
                <c:pt idx="4">
                  <c:v>39111</c:v>
                </c:pt>
              </c:numCache>
            </c:numRef>
          </c:cat>
          <c:val>
            <c:numRef>
              <c:f>'Data Table'!$D$7:$D$11</c:f>
              <c:numCache>
                <c:formatCode>0.0</c:formatCode>
                <c:ptCount val="5"/>
                <c:pt idx="0">
                  <c:v>36</c:v>
                </c:pt>
                <c:pt idx="1">
                  <c:v>36</c:v>
                </c:pt>
                <c:pt idx="2">
                  <c:v>35.5</c:v>
                </c:pt>
                <c:pt idx="3">
                  <c:v>35</c:v>
                </c:pt>
                <c:pt idx="4">
                  <c:v>35</c:v>
                </c:pt>
              </c:numCache>
            </c:numRef>
          </c:val>
        </c:ser>
        <c:ser>
          <c:idx val="2"/>
          <c:order val="2"/>
          <c:tx>
            <c:strRef>
              <c:f>'Data Table'!$E$6</c:f>
              <c:strCache>
                <c:ptCount val="1"/>
                <c:pt idx="0">
                  <c:v>Hips (inches)</c:v>
                </c:pt>
              </c:strCache>
            </c:strRef>
          </c:tx>
          <c:cat>
            <c:numRef>
              <c:f>'Data Table'!$A$7:$A$11</c:f>
              <c:numCache>
                <c:formatCode>m/d/yyyy</c:formatCode>
                <c:ptCount val="5"/>
                <c:pt idx="0">
                  <c:v>39083</c:v>
                </c:pt>
                <c:pt idx="1">
                  <c:v>39090</c:v>
                </c:pt>
                <c:pt idx="2">
                  <c:v>39097</c:v>
                </c:pt>
                <c:pt idx="3">
                  <c:v>39104</c:v>
                </c:pt>
                <c:pt idx="4">
                  <c:v>39111</c:v>
                </c:pt>
              </c:numCache>
            </c:numRef>
          </c:cat>
          <c:val>
            <c:numRef>
              <c:f>'Data Table'!$E$7:$E$11</c:f>
              <c:numCache>
                <c:formatCode>0.0</c:formatCode>
                <c:ptCount val="5"/>
                <c:pt idx="0">
                  <c:v>34</c:v>
                </c:pt>
                <c:pt idx="1">
                  <c:v>34</c:v>
                </c:pt>
                <c:pt idx="2">
                  <c:v>33.6</c:v>
                </c:pt>
                <c:pt idx="3">
                  <c:v>33</c:v>
                </c:pt>
                <c:pt idx="4">
                  <c:v>33</c:v>
                </c:pt>
              </c:numCache>
            </c:numRef>
          </c:val>
        </c:ser>
        <c:axId val="104017280"/>
        <c:axId val="104342656"/>
        <c:axId val="98795968"/>
      </c:line3DChart>
      <c:dateAx>
        <c:axId val="104017280"/>
        <c:scaling>
          <c:orientation val="minMax"/>
        </c:scaling>
        <c:axPos val="b"/>
        <c:numFmt formatCode="m/d/yyyy" sourceLinked="1"/>
        <c:majorTickMark val="none"/>
        <c:tickLblPos val="nextTo"/>
        <c:crossAx val="104342656"/>
        <c:crosses val="autoZero"/>
        <c:auto val="1"/>
        <c:lblOffset val="100"/>
        <c:baseTimeUnit val="days"/>
      </c:dateAx>
      <c:valAx>
        <c:axId val="1043426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Inches</a:t>
                </a:r>
              </a:p>
            </c:rich>
          </c:tx>
        </c:title>
        <c:numFmt formatCode="0.0" sourceLinked="1"/>
        <c:majorTickMark val="none"/>
        <c:tickLblPos val="nextTo"/>
        <c:crossAx val="104017280"/>
        <c:crosses val="autoZero"/>
        <c:crossBetween val="between"/>
      </c:valAx>
      <c:serAx>
        <c:axId val="98795968"/>
        <c:scaling>
          <c:orientation val="minMax"/>
        </c:scaling>
        <c:delete val="1"/>
        <c:axPos val="b"/>
        <c:tickLblPos val="nextTo"/>
        <c:crossAx val="104342656"/>
        <c:crosses val="autoZero"/>
      </c:serAx>
    </c:plotArea>
    <c:legend>
      <c:legendPos val="b"/>
    </c:legend>
    <c:plotVisOnly val="1"/>
  </c:chart>
  <c:spPr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"/>
  <c:chart>
    <c:title>
      <c:tx>
        <c:rich>
          <a:bodyPr/>
          <a:lstStyle/>
          <a:p>
            <a:pPr>
              <a:defRPr/>
            </a:pPr>
            <a:r>
              <a:rPr lang="en-US"/>
              <a:t>Weight - BMI</a:t>
            </a:r>
          </a:p>
        </c:rich>
      </c:tx>
    </c:title>
    <c:plotArea>
      <c:layout/>
      <c:barChart>
        <c:barDir val="col"/>
        <c:grouping val="clustered"/>
        <c:ser>
          <c:idx val="1"/>
          <c:order val="1"/>
          <c:tx>
            <c:strRef>
              <c:f>'Data Table'!$B$6</c:f>
              <c:strCache>
                <c:ptCount val="1"/>
                <c:pt idx="0">
                  <c:v>Weight (pounds)</c:v>
                </c:pt>
              </c:strCache>
            </c:strRef>
          </c:tx>
          <c:cat>
            <c:numRef>
              <c:f>'Data Table'!$A$7:$A$11</c:f>
              <c:numCache>
                <c:formatCode>m/d/yyyy</c:formatCode>
                <c:ptCount val="5"/>
                <c:pt idx="0">
                  <c:v>39083</c:v>
                </c:pt>
                <c:pt idx="1">
                  <c:v>39090</c:v>
                </c:pt>
                <c:pt idx="2">
                  <c:v>39097</c:v>
                </c:pt>
                <c:pt idx="3">
                  <c:v>39104</c:v>
                </c:pt>
                <c:pt idx="4">
                  <c:v>39111</c:v>
                </c:pt>
              </c:numCache>
            </c:numRef>
          </c:cat>
          <c:val>
            <c:numRef>
              <c:f>'Data Table'!$B$7:$B$11</c:f>
              <c:numCache>
                <c:formatCode>0.0</c:formatCode>
                <c:ptCount val="5"/>
                <c:pt idx="0">
                  <c:v>200</c:v>
                </c:pt>
                <c:pt idx="1">
                  <c:v>200</c:v>
                </c:pt>
                <c:pt idx="2">
                  <c:v>199</c:v>
                </c:pt>
                <c:pt idx="3">
                  <c:v>199</c:v>
                </c:pt>
                <c:pt idx="4">
                  <c:v>198</c:v>
                </c:pt>
              </c:numCache>
            </c:numRef>
          </c:val>
        </c:ser>
        <c:gapWidth val="75"/>
        <c:overlap val="-25"/>
        <c:axId val="104493824"/>
        <c:axId val="104495360"/>
      </c:barChart>
      <c:lineChart>
        <c:grouping val="standard"/>
        <c:ser>
          <c:idx val="0"/>
          <c:order val="0"/>
          <c:tx>
            <c:strRef>
              <c:f>'Data Table'!$I$6</c:f>
              <c:strCache>
                <c:ptCount val="1"/>
                <c:pt idx="0">
                  <c:v>Estimated Body Mass Index (BMI)</c:v>
                </c:pt>
              </c:strCache>
            </c:strRef>
          </c:tx>
          <c:cat>
            <c:numRef>
              <c:f>'Data Table'!$A$7:$A$11</c:f>
              <c:numCache>
                <c:formatCode>m/d/yyyy</c:formatCode>
                <c:ptCount val="5"/>
                <c:pt idx="0">
                  <c:v>39083</c:v>
                </c:pt>
                <c:pt idx="1">
                  <c:v>39090</c:v>
                </c:pt>
                <c:pt idx="2">
                  <c:v>39097</c:v>
                </c:pt>
                <c:pt idx="3">
                  <c:v>39104</c:v>
                </c:pt>
                <c:pt idx="4">
                  <c:v>39111</c:v>
                </c:pt>
              </c:numCache>
            </c:numRef>
          </c:cat>
          <c:val>
            <c:numRef>
              <c:f>'Data Table'!$I$7:$I$11</c:f>
              <c:numCache>
                <c:formatCode>0.00</c:formatCode>
                <c:ptCount val="5"/>
                <c:pt idx="0">
                  <c:v>26.026192790041183</c:v>
                </c:pt>
                <c:pt idx="1">
                  <c:v>26.026192790041183</c:v>
                </c:pt>
                <c:pt idx="2">
                  <c:v>25.896061826090978</c:v>
                </c:pt>
                <c:pt idx="3">
                  <c:v>25.896061826090978</c:v>
                </c:pt>
                <c:pt idx="4">
                  <c:v>25.76593086214077</c:v>
                </c:pt>
              </c:numCache>
            </c:numRef>
          </c:val>
        </c:ser>
        <c:marker val="1"/>
        <c:axId val="104502784"/>
        <c:axId val="104501248"/>
      </c:lineChart>
      <c:dateAx>
        <c:axId val="104493824"/>
        <c:scaling>
          <c:orientation val="minMax"/>
        </c:scaling>
        <c:axPos val="b"/>
        <c:numFmt formatCode="m/d/yyyy" sourceLinked="1"/>
        <c:majorTickMark val="none"/>
        <c:tickLblPos val="nextTo"/>
        <c:crossAx val="104495360"/>
        <c:crosses val="autoZero"/>
        <c:auto val="1"/>
        <c:lblOffset val="100"/>
      </c:dateAx>
      <c:valAx>
        <c:axId val="104495360"/>
        <c:scaling>
          <c:orientation val="minMax"/>
        </c:scaling>
        <c:axPos val="l"/>
        <c:majorGridlines/>
        <c:numFmt formatCode="0.0" sourceLinked="0"/>
        <c:majorTickMark val="none"/>
        <c:tickLblPos val="nextTo"/>
        <c:crossAx val="104493824"/>
        <c:crosses val="autoZero"/>
        <c:crossBetween val="between"/>
      </c:valAx>
      <c:valAx>
        <c:axId val="104501248"/>
        <c:scaling>
          <c:orientation val="minMax"/>
        </c:scaling>
        <c:axPos val="r"/>
        <c:numFmt formatCode="0.00" sourceLinked="1"/>
        <c:tickLblPos val="nextTo"/>
        <c:crossAx val="104502784"/>
        <c:crosses val="max"/>
        <c:crossBetween val="between"/>
      </c:valAx>
      <c:dateAx>
        <c:axId val="104502784"/>
        <c:scaling>
          <c:orientation val="minMax"/>
        </c:scaling>
        <c:delete val="1"/>
        <c:axPos val="b"/>
        <c:numFmt formatCode="m/d/yyyy" sourceLinked="1"/>
        <c:tickLblPos val="nextTo"/>
        <c:crossAx val="104501248"/>
        <c:crosses val="autoZero"/>
        <c:auto val="1"/>
        <c:lblOffset val="100"/>
      </c:dateAx>
    </c:plotArea>
    <c:legend>
      <c:legendPos val="b"/>
    </c:legend>
    <c:plotVisOnly val="1"/>
    <c:dispBlanksAs val="gap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"/>
  <c:chart>
    <c:title>
      <c:tx>
        <c:rich>
          <a:bodyPr/>
          <a:lstStyle/>
          <a:p>
            <a:pPr>
              <a:defRPr/>
            </a:pPr>
            <a:r>
              <a:rPr lang="en-US"/>
              <a:t>Weight - Body Fat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strRef>
              <c:f>'Data Table'!$B$6</c:f>
              <c:strCache>
                <c:ptCount val="1"/>
                <c:pt idx="0">
                  <c:v>Weight (pounds)</c:v>
                </c:pt>
              </c:strCache>
            </c:strRef>
          </c:tx>
          <c:cat>
            <c:numRef>
              <c:f>'Data Table'!$A$7:$A$11</c:f>
              <c:numCache>
                <c:formatCode>m/d/yyyy</c:formatCode>
                <c:ptCount val="5"/>
                <c:pt idx="0">
                  <c:v>39083</c:v>
                </c:pt>
                <c:pt idx="1">
                  <c:v>39090</c:v>
                </c:pt>
                <c:pt idx="2">
                  <c:v>39097</c:v>
                </c:pt>
                <c:pt idx="3">
                  <c:v>39104</c:v>
                </c:pt>
                <c:pt idx="4">
                  <c:v>39111</c:v>
                </c:pt>
              </c:numCache>
            </c:numRef>
          </c:cat>
          <c:val>
            <c:numRef>
              <c:f>'Data Table'!$B$7:$B$11</c:f>
              <c:numCache>
                <c:formatCode>0.0</c:formatCode>
                <c:ptCount val="5"/>
                <c:pt idx="0">
                  <c:v>200</c:v>
                </c:pt>
                <c:pt idx="1">
                  <c:v>200</c:v>
                </c:pt>
                <c:pt idx="2">
                  <c:v>199</c:v>
                </c:pt>
                <c:pt idx="3">
                  <c:v>199</c:v>
                </c:pt>
                <c:pt idx="4">
                  <c:v>198</c:v>
                </c:pt>
              </c:numCache>
            </c:numRef>
          </c:val>
        </c:ser>
        <c:gapWidth val="75"/>
        <c:overlap val="-25"/>
        <c:axId val="104603008"/>
        <c:axId val="104608896"/>
      </c:barChart>
      <c:lineChart>
        <c:grouping val="standard"/>
        <c:ser>
          <c:idx val="1"/>
          <c:order val="1"/>
          <c:tx>
            <c:strRef>
              <c:f>'Data Table'!$H$6</c:f>
              <c:strCache>
                <c:ptCount val="1"/>
                <c:pt idx="0">
                  <c:v>Estimated Body Fat Percentage</c:v>
                </c:pt>
              </c:strCache>
            </c:strRef>
          </c:tx>
          <c:cat>
            <c:numRef>
              <c:f>'Data Table'!$A$7:$A$11</c:f>
              <c:numCache>
                <c:formatCode>m/d/yyyy</c:formatCode>
                <c:ptCount val="5"/>
                <c:pt idx="0">
                  <c:v>39083</c:v>
                </c:pt>
                <c:pt idx="1">
                  <c:v>39090</c:v>
                </c:pt>
                <c:pt idx="2">
                  <c:v>39097</c:v>
                </c:pt>
                <c:pt idx="3">
                  <c:v>39104</c:v>
                </c:pt>
                <c:pt idx="4">
                  <c:v>39111</c:v>
                </c:pt>
              </c:numCache>
            </c:numRef>
          </c:cat>
          <c:val>
            <c:numRef>
              <c:f>'Data Table'!$H$7:$H$11</c:f>
              <c:numCache>
                <c:formatCode>0.0</c:formatCode>
                <c:ptCount val="5"/>
                <c:pt idx="0">
                  <c:v>19.290000000000006</c:v>
                </c:pt>
                <c:pt idx="1">
                  <c:v>19.290000000000006</c:v>
                </c:pt>
                <c:pt idx="2">
                  <c:v>18.385427135678402</c:v>
                </c:pt>
                <c:pt idx="3">
                  <c:v>17.342713567839194</c:v>
                </c:pt>
                <c:pt idx="4">
                  <c:v>17.47171717171717</c:v>
                </c:pt>
              </c:numCache>
            </c:numRef>
          </c:val>
        </c:ser>
        <c:marker val="1"/>
        <c:axId val="104617088"/>
        <c:axId val="104610816"/>
      </c:lineChart>
      <c:dateAx>
        <c:axId val="104603008"/>
        <c:scaling>
          <c:orientation val="minMax"/>
        </c:scaling>
        <c:axPos val="b"/>
        <c:numFmt formatCode="m/d/yyyy" sourceLinked="1"/>
        <c:majorTickMark val="none"/>
        <c:tickLblPos val="nextTo"/>
        <c:crossAx val="104608896"/>
        <c:crosses val="autoZero"/>
        <c:auto val="1"/>
        <c:lblOffset val="100"/>
      </c:dateAx>
      <c:valAx>
        <c:axId val="1046088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Pounds</a:t>
                </a:r>
              </a:p>
            </c:rich>
          </c:tx>
        </c:title>
        <c:numFmt formatCode="0.0" sourceLinked="1"/>
        <c:majorTickMark val="none"/>
        <c:tickLblPos val="nextTo"/>
        <c:crossAx val="104603008"/>
        <c:crosses val="autoZero"/>
        <c:crossBetween val="between"/>
      </c:valAx>
      <c:valAx>
        <c:axId val="104610816"/>
        <c:scaling>
          <c:orientation val="minMax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Body Fat Percentage</a:t>
                </a:r>
              </a:p>
            </c:rich>
          </c:tx>
        </c:title>
        <c:numFmt formatCode="0.0" sourceLinked="1"/>
        <c:tickLblPos val="nextTo"/>
        <c:crossAx val="104617088"/>
        <c:crosses val="max"/>
        <c:crossBetween val="between"/>
      </c:valAx>
      <c:dateAx>
        <c:axId val="104617088"/>
        <c:scaling>
          <c:orientation val="minMax"/>
        </c:scaling>
        <c:delete val="1"/>
        <c:axPos val="b"/>
        <c:numFmt formatCode="m/d/yyyy" sourceLinked="1"/>
        <c:tickLblPos val="nextTo"/>
        <c:crossAx val="104610816"/>
        <c:crosses val="autoZero"/>
        <c:auto val="1"/>
        <c:lblOffset val="100"/>
      </c:dateAx>
    </c:plotArea>
    <c:legend>
      <c:legendPos val="b"/>
    </c:legend>
    <c:plotVisOnly val="1"/>
    <c:dispBlanksAs val="gap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" right="0.7" top="0.75" bottom="0.75" header="0.3" footer="0.3"/>
  <pageSetup orientation="landscape" horizontalDpi="4294967292" verticalDpi="300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" right="0.7" top="0.75" bottom="0.75" header="0.3" footer="0.3"/>
  <pageSetup orientation="landscape" horizontalDpi="4294967292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" right="0.7" top="0.75" bottom="0.75" header="0.3" footer="0.3"/>
  <pageSetup orientation="landscape" horizontalDpi="4294967292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981075</xdr:colOff>
      <xdr:row>0</xdr:row>
      <xdr:rowOff>180975</xdr:rowOff>
    </xdr:from>
    <xdr:ext cx="1466850" cy="1047750"/>
    <xdr:pic>
      <xdr:nvPicPr>
        <xdr:cNvPr id="2" name="fitness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372350" y="180975"/>
          <a:ext cx="1466850" cy="1047750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676275" y="371475"/>
    <xdr:ext cx="7315200" cy="54864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628650" y="320761"/>
    <xdr:ext cx="7315200" cy="54864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695325" y="342900"/>
    <xdr:ext cx="7315200" cy="54864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1" name="Table1" displayName="Table1" ref="A6:I11" totalsRowShown="0" headerRowDxfId="9" headerRowCellStyle="Normal" dataCellStyle="Normal">
  <autoFilter ref="A6:I11"/>
  <tableColumns count="9">
    <tableColumn id="1" name="Date" dataDxfId="8" dataCellStyle="Normal"/>
    <tableColumn id="2" name="Weight (pounds)" dataDxfId="7" dataCellStyle="Normal"/>
    <tableColumn id="3" name="Chest (inches)" dataDxfId="6" dataCellStyle="Normal"/>
    <tableColumn id="4" name="Waist (inches)" dataDxfId="5" dataCellStyle="Normal"/>
    <tableColumn id="5" name="Hips (inches)" dataDxfId="4" dataCellStyle="Normal"/>
    <tableColumn id="6" name="Estimated Lean Body Weight" dataDxfId="3" dataCellStyle="Normal">
      <calculatedColumnFormula>((B7*1.082)+ 94.42)-(D7*4.15)</calculatedColumnFormula>
    </tableColumn>
    <tableColumn id="7" name="Estimated Body Fat Weight" dataDxfId="2" dataCellStyle="Normal">
      <calculatedColumnFormula>B7-F7</calculatedColumnFormula>
    </tableColumn>
    <tableColumn id="8" name="Estimated Body Fat Percentage" dataDxfId="1" dataCellStyle="Normal">
      <calculatedColumnFormula>IF(ISERROR((G7*100)/B7),"",(G7*100)/B7)</calculatedColumnFormula>
    </tableColumn>
    <tableColumn id="9" name="Estimated Body Mass Index (BMI)" dataDxfId="0" dataCellStyle="Normal">
      <calculatedColumnFormula>(B7/($B$3*12+$B$4)/($B$3*12+$B$4)*703)</calculatedColumnFormula>
    </tableColumn>
  </tableColumns>
  <tableStyleInfo name="Fitness Progress Chart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Technic">
      <a:dk1>
        <a:sysClr val="windowText" lastClr="000000"/>
      </a:dk1>
      <a:lt1>
        <a:sysClr val="window" lastClr="FFFFFF"/>
      </a:lt1>
      <a:dk2>
        <a:srgbClr val="3B3B3B"/>
      </a:dk2>
      <a:lt2>
        <a:srgbClr val="D4D2D0"/>
      </a:lt2>
      <a:accent1>
        <a:srgbClr val="6EA0B0"/>
      </a:accent1>
      <a:accent2>
        <a:srgbClr val="CCAF0A"/>
      </a:accent2>
      <a:accent3>
        <a:srgbClr val="8D89A4"/>
      </a:accent3>
      <a:accent4>
        <a:srgbClr val="748560"/>
      </a:accent4>
      <a:accent5>
        <a:srgbClr val="9E9273"/>
      </a:accent5>
      <a:accent6>
        <a:srgbClr val="7E848D"/>
      </a:accent6>
      <a:hlink>
        <a:srgbClr val="00E2DC"/>
      </a:hlink>
      <a:folHlink>
        <a:srgbClr val="00918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pageSetUpPr fitToPage="1"/>
  </sheetPr>
  <dimension ref="A1:I32"/>
  <sheetViews>
    <sheetView showGridLines="0" tabSelected="1" workbookViewId="0">
      <selection sqref="A1:I1"/>
    </sheetView>
  </sheetViews>
  <sheetFormatPr defaultRowHeight="15.95" customHeight="1"/>
  <cols>
    <col min="1" max="1" width="14.83203125" style="3" customWidth="1"/>
    <col min="2" max="5" width="12.83203125" style="3" customWidth="1"/>
    <col min="6" max="9" width="22.83203125" style="3" customWidth="1"/>
    <col min="10" max="16384" width="9.33203125" style="4"/>
  </cols>
  <sheetData>
    <row r="1" spans="1:9" s="5" customFormat="1" ht="48" customHeight="1">
      <c r="A1" s="18" t="s">
        <v>3</v>
      </c>
      <c r="B1" s="19"/>
      <c r="C1" s="19"/>
      <c r="D1" s="19"/>
      <c r="E1" s="19"/>
      <c r="F1" s="19"/>
      <c r="G1" s="19"/>
      <c r="H1" s="19"/>
      <c r="I1" s="19"/>
    </row>
    <row r="2" spans="1:9" ht="12.75" customHeight="1">
      <c r="A2"/>
      <c r="B2"/>
      <c r="C2"/>
      <c r="D2"/>
      <c r="E2"/>
      <c r="F2"/>
      <c r="G2"/>
      <c r="H2" s="4"/>
      <c r="I2" s="4"/>
    </row>
    <row r="3" spans="1:9" s="3" customFormat="1" ht="15.95" customHeight="1">
      <c r="A3" s="11" t="s">
        <v>2</v>
      </c>
      <c r="B3" s="9">
        <v>6</v>
      </c>
      <c r="C3" s="8"/>
    </row>
    <row r="4" spans="1:9" s="6" customFormat="1" ht="15.95" customHeight="1">
      <c r="A4" s="12" t="s">
        <v>0</v>
      </c>
      <c r="B4" s="10">
        <v>1.5</v>
      </c>
      <c r="C4" s="8"/>
      <c r="H4" s="7"/>
      <c r="I4" s="7"/>
    </row>
    <row r="5" spans="1:9" ht="15" customHeight="1">
      <c r="H5" s="1"/>
      <c r="I5" s="1"/>
    </row>
    <row r="6" spans="1:9" s="2" customFormat="1" ht="26.1" customHeight="1">
      <c r="A6" s="15" t="s">
        <v>1</v>
      </c>
      <c r="B6" s="17" t="s">
        <v>4</v>
      </c>
      <c r="C6" s="17" t="s">
        <v>5</v>
      </c>
      <c r="D6" s="17" t="s">
        <v>6</v>
      </c>
      <c r="E6" s="17" t="s">
        <v>7</v>
      </c>
      <c r="F6" s="17" t="s">
        <v>8</v>
      </c>
      <c r="G6" s="17" t="s">
        <v>9</v>
      </c>
      <c r="H6" s="17" t="s">
        <v>10</v>
      </c>
      <c r="I6" s="17" t="s">
        <v>11</v>
      </c>
    </row>
    <row r="7" spans="1:9" s="2" customFormat="1" ht="15.95" customHeight="1">
      <c r="A7" s="16">
        <v>39083</v>
      </c>
      <c r="B7" s="13">
        <v>200</v>
      </c>
      <c r="C7" s="13">
        <v>42</v>
      </c>
      <c r="D7" s="13">
        <v>36</v>
      </c>
      <c r="E7" s="13">
        <v>34</v>
      </c>
      <c r="F7" s="13">
        <f>((B7*1.082)+ 94.42)-(D7*4.15)</f>
        <v>161.41999999999999</v>
      </c>
      <c r="G7" s="13">
        <f>B7-F7</f>
        <v>38.580000000000013</v>
      </c>
      <c r="H7" s="13">
        <f>IF(ISERROR((G7*100)/B7),"",(G7*100)/B7)</f>
        <v>19.290000000000006</v>
      </c>
      <c r="I7" s="14">
        <f>(B7/($B$3*12+$B$4)/($B$3*12+$B$4)*703)</f>
        <v>26.026192790041183</v>
      </c>
    </row>
    <row r="8" spans="1:9" s="2" customFormat="1" ht="15.95" customHeight="1">
      <c r="A8" s="16">
        <v>39090</v>
      </c>
      <c r="B8" s="13">
        <v>200</v>
      </c>
      <c r="C8" s="13">
        <v>42</v>
      </c>
      <c r="D8" s="13">
        <v>36</v>
      </c>
      <c r="E8" s="13">
        <v>34</v>
      </c>
      <c r="F8" s="13">
        <f>((B8*1.082)+ 94.42)-(D8*4.15)</f>
        <v>161.41999999999999</v>
      </c>
      <c r="G8" s="13">
        <f>B8-F8</f>
        <v>38.580000000000013</v>
      </c>
      <c r="H8" s="13">
        <f>IF(ISERROR((G8*100)/B8),"",(G8*100)/B8)</f>
        <v>19.290000000000006</v>
      </c>
      <c r="I8" s="14">
        <f>(B8/($B$3*12+$B$4)/($B$3*12+$B$4)*703)</f>
        <v>26.026192790041183</v>
      </c>
    </row>
    <row r="9" spans="1:9" s="2" customFormat="1" ht="15.95" customHeight="1">
      <c r="A9" s="16">
        <v>39097</v>
      </c>
      <c r="B9" s="13">
        <v>199</v>
      </c>
      <c r="C9" s="13">
        <v>42</v>
      </c>
      <c r="D9" s="13">
        <v>35.5</v>
      </c>
      <c r="E9" s="13">
        <v>33.6</v>
      </c>
      <c r="F9" s="13">
        <f>((B9*1.082)+ 94.42)-(D9*4.15)</f>
        <v>162.41299999999998</v>
      </c>
      <c r="G9" s="13">
        <f>B9-F9</f>
        <v>36.587000000000018</v>
      </c>
      <c r="H9" s="13">
        <f>IF(ISERROR((G9*100)/B9),"",(G9*100)/B9)</f>
        <v>18.385427135678402</v>
      </c>
      <c r="I9" s="14">
        <f>(B9/($B$3*12+$B$4)/($B$3*12+$B$4)*703)</f>
        <v>25.896061826090978</v>
      </c>
    </row>
    <row r="10" spans="1:9" s="2" customFormat="1" ht="15.95" customHeight="1">
      <c r="A10" s="16">
        <v>39104</v>
      </c>
      <c r="B10" s="13">
        <v>199</v>
      </c>
      <c r="C10" s="13">
        <v>42</v>
      </c>
      <c r="D10" s="13">
        <v>35</v>
      </c>
      <c r="E10" s="13">
        <v>33</v>
      </c>
      <c r="F10" s="13">
        <f>((B10*1.082)+ 94.42)-(D10*4.15)</f>
        <v>164.488</v>
      </c>
      <c r="G10" s="13">
        <f>B10-F10</f>
        <v>34.512</v>
      </c>
      <c r="H10" s="13">
        <f>IF(ISERROR((G10*100)/B10),"",(G10*100)/B10)</f>
        <v>17.342713567839194</v>
      </c>
      <c r="I10" s="14">
        <f>(B10/($B$3*12+$B$4)/($B$3*12+$B$4)*703)</f>
        <v>25.896061826090978</v>
      </c>
    </row>
    <row r="11" spans="1:9" s="2" customFormat="1" ht="15.95" customHeight="1">
      <c r="A11" s="16">
        <v>39111</v>
      </c>
      <c r="B11" s="13">
        <v>198</v>
      </c>
      <c r="C11" s="13">
        <v>42.5</v>
      </c>
      <c r="D11" s="13">
        <v>35</v>
      </c>
      <c r="E11" s="13">
        <v>33</v>
      </c>
      <c r="F11" s="13">
        <f>((B11*1.082)+ 94.42)-(D11*4.15)</f>
        <v>163.40600000000001</v>
      </c>
      <c r="G11" s="13">
        <f>B11-F11</f>
        <v>34.593999999999994</v>
      </c>
      <c r="H11" s="13">
        <f>IF(ISERROR((G11*100)/B11),"",(G11*100)/B11)</f>
        <v>17.47171717171717</v>
      </c>
      <c r="I11" s="14">
        <f>(B11/($B$3*12+$B$4)/($B$3*12+$B$4)*703)</f>
        <v>25.76593086214077</v>
      </c>
    </row>
    <row r="12" spans="1:9" s="2" customFormat="1" ht="15.95" customHeight="1">
      <c r="A12" s="3"/>
      <c r="B12" s="3"/>
      <c r="C12" s="3"/>
      <c r="D12" s="3"/>
      <c r="E12" s="3"/>
      <c r="F12" s="3"/>
      <c r="G12" s="3"/>
      <c r="H12" s="3"/>
      <c r="I12" s="3"/>
    </row>
    <row r="13" spans="1:9" s="2" customFormat="1" ht="15.95" customHeight="1">
      <c r="A13" s="3"/>
      <c r="B13" s="3"/>
      <c r="C13" s="3"/>
      <c r="D13" s="3"/>
      <c r="E13" s="3"/>
      <c r="F13" s="3"/>
      <c r="G13" s="3"/>
      <c r="H13" s="3"/>
      <c r="I13" s="3"/>
    </row>
    <row r="14" spans="1:9" s="2" customFormat="1" ht="15.95" customHeight="1">
      <c r="A14" s="3"/>
      <c r="B14" s="3"/>
      <c r="C14" s="3"/>
      <c r="D14" s="3"/>
      <c r="E14" s="3"/>
      <c r="F14" s="3"/>
      <c r="G14" s="3"/>
      <c r="H14" s="3"/>
      <c r="I14" s="3"/>
    </row>
    <row r="15" spans="1:9" s="2" customFormat="1" ht="15.95" customHeight="1">
      <c r="A15" s="3"/>
      <c r="B15" s="3"/>
      <c r="C15" s="3"/>
      <c r="D15" s="3"/>
      <c r="E15" s="3"/>
      <c r="F15" s="3"/>
      <c r="G15" s="3"/>
      <c r="H15" s="3"/>
      <c r="I15" s="3"/>
    </row>
    <row r="16" spans="1:9" s="2" customFormat="1" ht="15.95" customHeight="1">
      <c r="A16" s="3"/>
      <c r="B16" s="3"/>
      <c r="C16" s="3"/>
      <c r="D16" s="3"/>
      <c r="E16" s="3"/>
      <c r="F16" s="3"/>
      <c r="G16" s="3"/>
      <c r="H16" s="3"/>
      <c r="I16" s="3"/>
    </row>
    <row r="17" spans="1:9" s="2" customFormat="1" ht="15.95" customHeight="1">
      <c r="A17" s="3"/>
      <c r="B17" s="3"/>
      <c r="C17" s="3"/>
      <c r="D17" s="3"/>
      <c r="E17" s="3"/>
      <c r="F17" s="3"/>
      <c r="G17" s="3"/>
      <c r="H17" s="3"/>
      <c r="I17" s="3"/>
    </row>
    <row r="18" spans="1:9" s="2" customFormat="1" ht="15.95" customHeight="1">
      <c r="A18" s="3"/>
      <c r="B18" s="3"/>
      <c r="C18" s="3"/>
      <c r="D18" s="3"/>
      <c r="E18" s="3"/>
      <c r="F18" s="3"/>
      <c r="G18" s="3"/>
      <c r="H18" s="3"/>
      <c r="I18" s="3"/>
    </row>
    <row r="19" spans="1:9" s="2" customFormat="1" ht="15.95" customHeight="1">
      <c r="A19" s="3"/>
      <c r="B19" s="3"/>
      <c r="C19" s="3"/>
      <c r="D19" s="3"/>
      <c r="E19" s="3"/>
      <c r="F19" s="3"/>
      <c r="G19" s="3"/>
      <c r="H19" s="3"/>
      <c r="I19" s="3"/>
    </row>
    <row r="20" spans="1:9" s="2" customFormat="1" ht="15.95" customHeight="1">
      <c r="A20" s="3"/>
      <c r="B20" s="3"/>
      <c r="C20" s="3"/>
      <c r="D20" s="3"/>
      <c r="E20" s="3"/>
      <c r="F20" s="3"/>
      <c r="G20" s="3"/>
      <c r="H20" s="3"/>
      <c r="I20" s="3"/>
    </row>
    <row r="21" spans="1:9" s="2" customFormat="1" ht="15.95" customHeight="1">
      <c r="A21" s="3"/>
      <c r="B21" s="3"/>
      <c r="C21" s="3"/>
      <c r="D21" s="3"/>
      <c r="E21" s="3"/>
      <c r="F21" s="3"/>
      <c r="G21" s="3"/>
      <c r="H21" s="3"/>
      <c r="I21" s="3"/>
    </row>
    <row r="22" spans="1:9" s="2" customFormat="1" ht="15.95" customHeight="1">
      <c r="A22" s="3"/>
      <c r="B22" s="3"/>
      <c r="C22" s="3"/>
      <c r="D22" s="3"/>
      <c r="E22" s="3"/>
      <c r="F22" s="3"/>
      <c r="G22" s="3"/>
      <c r="H22" s="3"/>
      <c r="I22" s="3"/>
    </row>
    <row r="23" spans="1:9" s="2" customFormat="1" ht="15.95" customHeight="1">
      <c r="A23" s="3"/>
      <c r="B23" s="3"/>
      <c r="C23" s="3"/>
      <c r="D23" s="3"/>
      <c r="E23" s="3"/>
      <c r="F23" s="3"/>
      <c r="G23" s="3"/>
      <c r="H23" s="3"/>
      <c r="I23" s="3"/>
    </row>
    <row r="24" spans="1:9" s="2" customFormat="1" ht="15.95" customHeight="1">
      <c r="A24" s="3"/>
      <c r="B24" s="3"/>
      <c r="C24" s="3"/>
      <c r="D24" s="3"/>
      <c r="E24" s="3"/>
      <c r="F24" s="3"/>
      <c r="G24" s="3"/>
      <c r="H24" s="3"/>
      <c r="I24" s="3"/>
    </row>
    <row r="25" spans="1:9" s="2" customFormat="1" ht="15.95" customHeight="1">
      <c r="A25" s="3"/>
      <c r="B25" s="3"/>
      <c r="C25" s="3"/>
      <c r="D25" s="3"/>
      <c r="E25" s="3"/>
      <c r="F25" s="3"/>
      <c r="G25" s="3"/>
      <c r="H25" s="3"/>
      <c r="I25" s="3"/>
    </row>
    <row r="26" spans="1:9" s="2" customFormat="1" ht="15.95" customHeight="1">
      <c r="A26" s="3"/>
      <c r="B26" s="3"/>
      <c r="C26" s="3"/>
      <c r="D26" s="3"/>
      <c r="E26" s="3"/>
      <c r="F26" s="3"/>
      <c r="G26" s="3"/>
      <c r="H26" s="3"/>
      <c r="I26" s="3"/>
    </row>
    <row r="27" spans="1:9" s="2" customFormat="1" ht="15.95" customHeight="1">
      <c r="A27" s="3"/>
      <c r="B27" s="3"/>
      <c r="C27" s="3"/>
      <c r="D27" s="3"/>
      <c r="E27" s="3"/>
      <c r="F27" s="3"/>
      <c r="G27" s="3"/>
      <c r="H27" s="3"/>
      <c r="I27" s="3"/>
    </row>
    <row r="28" spans="1:9" s="2" customFormat="1" ht="15.95" customHeight="1">
      <c r="A28" s="3"/>
      <c r="B28" s="3"/>
      <c r="C28" s="3"/>
      <c r="D28" s="3"/>
      <c r="E28" s="3"/>
      <c r="F28" s="3"/>
      <c r="G28" s="3"/>
      <c r="H28" s="3"/>
      <c r="I28" s="3"/>
    </row>
    <row r="29" spans="1:9" s="2" customFormat="1" ht="15.95" customHeight="1">
      <c r="A29" s="3"/>
      <c r="B29" s="3"/>
      <c r="C29" s="3"/>
      <c r="D29" s="3"/>
      <c r="E29" s="3"/>
      <c r="F29" s="3"/>
      <c r="G29" s="3"/>
      <c r="H29" s="3"/>
      <c r="I29" s="3"/>
    </row>
    <row r="30" spans="1:9" s="2" customFormat="1" ht="15.95" customHeight="1">
      <c r="A30" s="3"/>
      <c r="B30" s="3"/>
      <c r="C30" s="3"/>
      <c r="D30" s="3"/>
      <c r="E30" s="3"/>
      <c r="F30" s="3"/>
      <c r="G30" s="3"/>
      <c r="H30" s="3"/>
      <c r="I30" s="3"/>
    </row>
    <row r="31" spans="1:9" s="2" customFormat="1" ht="15.95" customHeight="1">
      <c r="A31" s="3"/>
      <c r="B31" s="3"/>
      <c r="C31" s="3"/>
      <c r="D31" s="3"/>
      <c r="E31" s="3"/>
      <c r="F31" s="3"/>
      <c r="G31" s="3"/>
      <c r="H31" s="3"/>
      <c r="I31" s="3"/>
    </row>
    <row r="32" spans="1:9" s="2" customFormat="1" ht="15.95" customHeight="1">
      <c r="A32" s="3"/>
      <c r="B32" s="3"/>
      <c r="C32" s="3"/>
      <c r="D32" s="3"/>
      <c r="E32" s="3"/>
      <c r="F32" s="3"/>
      <c r="G32" s="3"/>
      <c r="H32" s="3"/>
      <c r="I32" s="3"/>
    </row>
  </sheetData>
  <mergeCells count="1">
    <mergeCell ref="A1:I1"/>
  </mergeCells>
  <phoneticPr fontId="1" type="noConversion"/>
  <printOptions horizontalCentered="1"/>
  <pageMargins left="0.5" right="0.5" top="0.75" bottom="0.75" header="0.5" footer="0.5"/>
  <pageSetup fitToHeight="0" orientation="landscape" r:id="rId1"/>
  <headerFooter alignWithMargins="0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Data Table</vt:lpstr>
      <vt:lpstr>Measurements</vt:lpstr>
      <vt:lpstr>Weight - BMI</vt:lpstr>
      <vt:lpstr>Weight - Body Fat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2006-08-10T17:39:33Z</dcterms:created>
  <dcterms:modified xsi:type="dcterms:W3CDTF">2006-11-07T23:42:48Z</dcterms:modified>
</cp:coreProperties>
</file>
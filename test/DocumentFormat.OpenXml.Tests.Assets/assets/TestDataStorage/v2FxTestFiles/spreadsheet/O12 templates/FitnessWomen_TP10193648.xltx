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-165" yWindow="480" windowWidth="14355" windowHeight="8580"/>
  </bookViews>
  <sheets>
    <sheet name="Data" sheetId="2" r:id="rId1"/>
    <sheet name="Measurements" sheetId="11" r:id="rId2"/>
    <sheet name="Weight - BMI" sheetId="12" r:id="rId3"/>
    <sheet name="Weight - Body Fat" sheetId="13" r:id="rId4"/>
  </sheets>
  <calcPr calcId="124519"/>
  <webPublishing codePage="1252"/>
</workbook>
</file>

<file path=xl/calcChain.xml><?xml version="1.0" encoding="utf-8"?>
<calcChain xmlns="http://schemas.openxmlformats.org/spreadsheetml/2006/main">
  <c r="H7" i="2"/>
  <c r="H8"/>
  <c r="H9"/>
  <c r="H10"/>
  <c r="H11"/>
  <c r="K11"/>
  <c r="K10"/>
  <c r="K9"/>
  <c r="K8"/>
  <c r="K7"/>
  <c r="I8" l="1"/>
  <c r="J8" s="1"/>
  <c r="I11"/>
  <c r="J11" s="1"/>
  <c r="I10"/>
  <c r="J10" s="1"/>
  <c r="I9"/>
  <c r="J9" s="1"/>
  <c r="I7"/>
  <c r="J7" s="1"/>
</calcChain>
</file>

<file path=xl/sharedStrings.xml><?xml version="1.0" encoding="utf-8"?>
<sst xmlns="http://schemas.openxmlformats.org/spreadsheetml/2006/main" count="14" uniqueCount="14">
  <si>
    <t>Date</t>
  </si>
  <si>
    <t>Height (feet)</t>
  </si>
  <si>
    <t>Fitness Progress Chart for Women</t>
  </si>
  <si>
    <t>Height (inches)</t>
  </si>
  <si>
    <t>Weight (pounds)</t>
  </si>
  <si>
    <t>Chest (inches)</t>
  </si>
  <si>
    <t>Waist (inches)</t>
  </si>
  <si>
    <t>Hips (inches)</t>
  </si>
  <si>
    <t>Wrist (inches)</t>
  </si>
  <si>
    <t>Forearm (inches)</t>
  </si>
  <si>
    <t>Estimated Lean Body Weight</t>
  </si>
  <si>
    <t>Estimated Body Fat Weight</t>
  </si>
  <si>
    <t>Estimated Body Fat Percentage</t>
  </si>
  <si>
    <t>Estimated Body Mass Index (BMI)</t>
  </si>
</sst>
</file>

<file path=xl/styles.xml><?xml version="1.0" encoding="utf-8"?>
<styleSheet xmlns="http://schemas.openxmlformats.org/spreadsheetml/2006/main">
  <numFmts count="1">
    <numFmt numFmtId="164" formatCode="0.0"/>
  </numFmts>
  <fonts count="9">
    <font>
      <sz val="8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20"/>
      <color theme="1" tint="0.249977111117893"/>
      <name val="Cambria"/>
      <family val="1"/>
      <scheme val="major"/>
    </font>
    <font>
      <b/>
      <sz val="8"/>
      <color theme="0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164" fontId="0" fillId="0" borderId="0">
      <alignment horizontal="left" vertical="center" wrapText="1"/>
    </xf>
  </cellStyleXfs>
  <cellXfs count="24">
    <xf numFmtId="164" fontId="0" fillId="0" borderId="0" xfId="0">
      <alignment horizontal="left" vertical="center" wrapText="1"/>
    </xf>
    <xf numFmtId="164" fontId="2" fillId="0" borderId="0" xfId="0" applyFont="1" applyFill="1" applyBorder="1" applyAlignment="1">
      <alignment horizontal="left"/>
    </xf>
    <xf numFmtId="164" fontId="4" fillId="0" borderId="0" xfId="0" applyFont="1" applyFill="1" applyBorder="1" applyAlignment="1">
      <alignment horizontal="left" wrapText="1"/>
    </xf>
    <xf numFmtId="164" fontId="2" fillId="0" borderId="0" xfId="0" applyFont="1" applyFill="1" applyBorder="1">
      <alignment horizontal="left" vertical="center" wrapText="1"/>
    </xf>
    <xf numFmtId="164" fontId="3" fillId="0" borderId="0" xfId="0" applyFont="1" applyFill="1" applyBorder="1">
      <alignment horizontal="left" vertical="center" wrapText="1"/>
    </xf>
    <xf numFmtId="164" fontId="3" fillId="0" borderId="0" xfId="0" applyFont="1" applyFill="1" applyBorder="1" applyAlignment="1">
      <alignment horizontal="left"/>
    </xf>
    <xf numFmtId="164" fontId="2" fillId="0" borderId="0" xfId="0" applyFont="1" applyFill="1" applyBorder="1" applyAlignment="1">
      <alignment horizontal="left" indent="1"/>
    </xf>
    <xf numFmtId="164" fontId="2" fillId="0" borderId="0" xfId="0" applyFont="1" applyFill="1" applyBorder="1" applyAlignment="1">
      <alignment horizontal="left" wrapText="1" indent="1"/>
    </xf>
    <xf numFmtId="164" fontId="5" fillId="0" borderId="0" xfId="0" applyFont="1" applyFill="1" applyBorder="1" applyAlignment="1">
      <alignment horizontal="left" vertical="top" wrapText="1" indent="1"/>
    </xf>
    <xf numFmtId="164" fontId="5" fillId="0" borderId="0" xfId="0" applyNumberFormat="1" applyFont="1" applyFill="1" applyBorder="1" applyAlignment="1">
      <alignment horizontal="left" vertical="top" indent="1"/>
    </xf>
    <xf numFmtId="164" fontId="2" fillId="0" borderId="0" xfId="0" applyFont="1" applyFill="1" applyBorder="1" applyAlignment="1">
      <alignment horizontal="left" vertical="top" indent="1"/>
    </xf>
    <xf numFmtId="164" fontId="2" fillId="0" borderId="0" xfId="0" applyFont="1" applyFill="1" applyBorder="1" applyAlignment="1">
      <alignment horizontal="left" vertical="top" wrapText="1" indent="1"/>
    </xf>
    <xf numFmtId="164" fontId="3" fillId="0" borderId="0" xfId="0" applyFont="1" applyFill="1" applyBorder="1" applyAlignment="1">
      <alignment vertical="center"/>
    </xf>
    <xf numFmtId="1" fontId="6" fillId="0" borderId="2" xfId="0" applyNumberFormat="1" applyFont="1" applyFill="1" applyBorder="1" applyAlignment="1">
      <alignment horizontal="left" indent="1"/>
    </xf>
    <xf numFmtId="164" fontId="6" fillId="0" borderId="4" xfId="0" applyNumberFormat="1" applyFont="1" applyFill="1" applyBorder="1" applyAlignment="1">
      <alignment horizontal="left" vertical="top" indent="1"/>
    </xf>
    <xf numFmtId="0" fontId="6" fillId="0" borderId="1" xfId="0" applyNumberFormat="1" applyFont="1" applyFill="1" applyBorder="1" applyAlignment="1">
      <alignment horizontal="left" wrapText="1" indent="1"/>
    </xf>
    <xf numFmtId="0" fontId="6" fillId="0" borderId="3" xfId="0" applyNumberFormat="1" applyFont="1" applyFill="1" applyBorder="1" applyAlignment="1">
      <alignment horizontal="left" vertical="top" wrapText="1" indent="1"/>
    </xf>
    <xf numFmtId="14" fontId="0" fillId="0" borderId="0" xfId="0" applyNumberFormat="1" applyAlignment="1">
      <alignment vertical="center" wrapText="1"/>
    </xf>
    <xf numFmtId="164" fontId="0" fillId="0" borderId="0" xfId="0" applyAlignment="1">
      <alignment vertical="center" wrapText="1"/>
    </xf>
    <xf numFmtId="164" fontId="0" fillId="0" borderId="0" xfId="0" applyFill="1" applyAlignment="1">
      <alignment vertical="center" wrapText="1"/>
    </xf>
    <xf numFmtId="2" fontId="0" fillId="0" borderId="0" xfId="0" applyNumberFormat="1" applyFill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8" fillId="0" borderId="0" xfId="0" applyNumberFormat="1" applyFont="1" applyAlignment="1">
      <alignment vertical="center" wrapText="1"/>
    </xf>
    <xf numFmtId="0" fontId="7" fillId="0" borderId="0" xfId="0" applyNumberFormat="1" applyFont="1" applyFill="1" applyBorder="1" applyAlignment="1">
      <alignment horizontal="left"/>
    </xf>
  </cellXfs>
  <cellStyles count="1">
    <cellStyle name="Normal" xfId="0" builtinId="0" customBuiltin="1"/>
  </cellStyles>
  <dxfs count="17">
    <dxf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numFmt numFmtId="19" formatCode="m/d/yyyy"/>
      <alignment horizontal="general" vertical="center" textRotation="0" wrapText="1" indent="0" relativeIndent="255" justifyLastLine="0" shrinkToFit="0" mergeCell="0" readingOrder="0"/>
    </dxf>
    <dxf>
      <alignment horizontal="general" vertical="center" textRotation="0" wrapText="1" indent="0" relativeIndent="255" justifyLastLine="0" shrinkToFit="0" mergeCell="0" readingOrder="0"/>
    </dxf>
    <dxf>
      <numFmt numFmtId="0" formatCode="General"/>
      <alignment horizontal="general" vertical="center" textRotation="0" wrapText="1" indent="0" relativeIndent="255" justifyLastLine="0" shrinkToFit="0" mergeCell="0" readingOrder="0"/>
    </dxf>
    <dxf>
      <fill>
        <patternFill>
          <bgColor theme="8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8" tint="0.59996337778862885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8"/>
        <color theme="0"/>
      </font>
      <fill>
        <patternFill>
          <bgColor theme="0" tint="-0.499984740745262"/>
        </patternFill>
      </fill>
      <border diagonalUp="0" diagonalDown="0">
        <bottom style="thick">
          <color theme="0"/>
        </bottom>
      </border>
    </dxf>
    <dxf>
      <font>
        <sz val="8"/>
        <color theme="1" tint="0.24994659260841701"/>
      </font>
    </dxf>
  </dxfs>
  <tableStyles count="1" defaultTableStyle="TableStyleMedium9" defaultPivotStyle="PivotStyleLight16">
    <tableStyle name="Fitness Progress Chart" pivot="0" count="4">
      <tableStyleElement type="wholeTable" dxfId="16"/>
      <tableStyleElement type="headerRow" dxfId="15"/>
      <tableStyleElement type="firstRowStripe" dxfId="14"/>
      <tableStyleElement type="secondRowStripe" dxfId="1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E3E7EF"/>
      <rgbColor rgb="006C52AE"/>
      <rgbColor rgb="00F1F3F7"/>
      <rgbColor rgb="00EAEAEA"/>
      <rgbColor rgb="00D3D9EC"/>
      <rgbColor rgb="00800000"/>
      <rgbColor rgb="00008000"/>
      <rgbColor rgb="00000080"/>
      <rgbColor rgb="00808000"/>
      <rgbColor rgb="00800080"/>
      <rgbColor rgb="00C3BCD4"/>
      <rgbColor rgb="00C0C0C0"/>
      <rgbColor rgb="00CEE0B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4D80C"/>
      <rgbColor rgb="0000FFFF"/>
      <rgbColor rgb="00800080"/>
      <rgbColor rgb="00800000"/>
      <rgbColor rgb="00008080"/>
      <rgbColor rgb="000000FF"/>
      <rgbColor rgb="00C2CADC"/>
      <rgbColor rgb="00A0C4C2"/>
      <rgbColor rgb="00B0CEC5"/>
      <rgbColor rgb="00C2CBDC"/>
      <rgbColor rgb="0097BCC2"/>
      <rgbColor rgb="00FF99CC"/>
      <rgbColor rgb="00CC99FF"/>
      <rgbColor rgb="00FFFAE3"/>
      <rgbColor rgb="003366FF"/>
      <rgbColor rgb="0033CCCC"/>
      <rgbColor rgb="0099CC00"/>
      <rgbColor rgb="00FAFBFC"/>
      <rgbColor rgb="00FF9900"/>
      <rgbColor rgb="00FF6600"/>
      <rgbColor rgb="00E3ECF7"/>
      <rgbColor rgb="00969696"/>
      <rgbColor rgb="00003366"/>
      <rgbColor rgb="00339966"/>
      <rgbColor rgb="000058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Measurements</a:t>
            </a:r>
          </a:p>
        </c:rich>
      </c:tx>
    </c:title>
    <c:view3D>
      <c:rotX val="10"/>
      <c:rotY val="30"/>
      <c:perspective val="20"/>
    </c:view3D>
    <c:plotArea>
      <c:layout/>
      <c:line3DChart>
        <c:grouping val="standard"/>
        <c:ser>
          <c:idx val="0"/>
          <c:order val="0"/>
          <c:tx>
            <c:strRef>
              <c:f>Data!$C$6</c:f>
              <c:strCache>
                <c:ptCount val="1"/>
                <c:pt idx="0">
                  <c:v>Chest (inches)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Data!$C$7:$C$11</c:f>
              <c:numCache>
                <c:formatCode>0.0</c:formatCode>
                <c:ptCount val="5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</c:numCache>
            </c:numRef>
          </c:val>
        </c:ser>
        <c:ser>
          <c:idx val="1"/>
          <c:order val="1"/>
          <c:tx>
            <c:strRef>
              <c:f>Data!$D$6</c:f>
              <c:strCache>
                <c:ptCount val="1"/>
                <c:pt idx="0">
                  <c:v>Waist (inches)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Data!$D$7:$D$11</c:f>
              <c:numCache>
                <c:formatCode>0.0</c:formatCode>
                <c:ptCount val="5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</c:ser>
        <c:ser>
          <c:idx val="2"/>
          <c:order val="2"/>
          <c:tx>
            <c:strRef>
              <c:f>Data!$E$6</c:f>
              <c:strCache>
                <c:ptCount val="1"/>
                <c:pt idx="0">
                  <c:v>Hips (inches)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Data!$E$7:$E$11</c:f>
              <c:numCache>
                <c:formatCode>0.0</c:formatCode>
                <c:ptCount val="5"/>
                <c:pt idx="0">
                  <c:v>40</c:v>
                </c:pt>
                <c:pt idx="1">
                  <c:v>39.5</c:v>
                </c:pt>
                <c:pt idx="2">
                  <c:v>39.5</c:v>
                </c:pt>
                <c:pt idx="3">
                  <c:v>39</c:v>
                </c:pt>
                <c:pt idx="4">
                  <c:v>39</c:v>
                </c:pt>
              </c:numCache>
            </c:numRef>
          </c:val>
        </c:ser>
        <c:ser>
          <c:idx val="3"/>
          <c:order val="3"/>
          <c:tx>
            <c:strRef>
              <c:f>Data!$F$6</c:f>
              <c:strCache>
                <c:ptCount val="1"/>
                <c:pt idx="0">
                  <c:v>Wrist (inches)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Data!$F$7:$F$11</c:f>
              <c:numCache>
                <c:formatCode>0.0</c:formatCode>
                <c:ptCount val="5"/>
                <c:pt idx="0">
                  <c:v>6.8</c:v>
                </c:pt>
                <c:pt idx="1">
                  <c:v>6.7</c:v>
                </c:pt>
                <c:pt idx="2">
                  <c:v>6.7</c:v>
                </c:pt>
                <c:pt idx="3">
                  <c:v>6.3</c:v>
                </c:pt>
                <c:pt idx="4">
                  <c:v>6.3</c:v>
                </c:pt>
              </c:numCache>
            </c:numRef>
          </c:val>
        </c:ser>
        <c:ser>
          <c:idx val="4"/>
          <c:order val="4"/>
          <c:tx>
            <c:strRef>
              <c:f>Data!$G$6</c:f>
              <c:strCache>
                <c:ptCount val="1"/>
                <c:pt idx="0">
                  <c:v>Forearm (inches)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Data!$G$7:$G$11</c:f>
              <c:numCache>
                <c:formatCode>0.0</c:formatCode>
                <c:ptCount val="5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</c:v>
                </c:pt>
                <c:pt idx="4">
                  <c:v>11</c:v>
                </c:pt>
              </c:numCache>
            </c:numRef>
          </c:val>
        </c:ser>
        <c:axId val="103613568"/>
        <c:axId val="103615104"/>
        <c:axId val="88072192"/>
      </c:line3DChart>
      <c:dateAx>
        <c:axId val="103613568"/>
        <c:scaling>
          <c:orientation val="minMax"/>
        </c:scaling>
        <c:axPos val="b"/>
        <c:numFmt formatCode="m/d/yyyy" sourceLinked="1"/>
        <c:majorTickMark val="none"/>
        <c:tickLblPos val="nextTo"/>
        <c:crossAx val="103615104"/>
        <c:crosses val="autoZero"/>
        <c:auto val="1"/>
        <c:lblOffset val="100"/>
      </c:dateAx>
      <c:valAx>
        <c:axId val="103615104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crossAx val="103613568"/>
        <c:crosses val="autoZero"/>
        <c:crossBetween val="between"/>
      </c:valAx>
      <c:serAx>
        <c:axId val="88072192"/>
        <c:scaling>
          <c:orientation val="minMax"/>
        </c:scaling>
        <c:delete val="1"/>
        <c:axPos val="b"/>
        <c:tickLblPos val="nextTo"/>
        <c:crossAx val="103615104"/>
        <c:crosses val="autoZero"/>
      </c:serAx>
    </c:plotArea>
    <c:legend>
      <c:legendPos val="r"/>
    </c:legend>
    <c:plotVisOnly val="1"/>
  </c:chart>
  <c:spPr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rich>
          <a:bodyPr/>
          <a:lstStyle/>
          <a:p>
            <a:pPr>
              <a:defRPr/>
            </a:pPr>
            <a:r>
              <a:rPr lang="en-US"/>
              <a:t>Weight - BMI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Data!$B$6</c:f>
              <c:strCache>
                <c:ptCount val="1"/>
                <c:pt idx="0">
                  <c:v>Weight (pounds)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Data!$B$7:$B$11</c:f>
              <c:numCache>
                <c:formatCode>0.0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139</c:v>
                </c:pt>
                <c:pt idx="3">
                  <c:v>139</c:v>
                </c:pt>
                <c:pt idx="4">
                  <c:v>139</c:v>
                </c:pt>
              </c:numCache>
            </c:numRef>
          </c:val>
        </c:ser>
        <c:gapWidth val="75"/>
        <c:overlap val="-25"/>
        <c:axId val="103655680"/>
        <c:axId val="103669760"/>
      </c:barChart>
      <c:lineChart>
        <c:grouping val="standard"/>
        <c:ser>
          <c:idx val="1"/>
          <c:order val="1"/>
          <c:tx>
            <c:strRef>
              <c:f>Data!$K$6</c:f>
              <c:strCache>
                <c:ptCount val="1"/>
                <c:pt idx="0">
                  <c:v>Estimated Body Mass Index (BMI)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Data!$K$7:$K$11</c:f>
              <c:numCache>
                <c:formatCode>0.00</c:formatCode>
                <c:ptCount val="5"/>
                <c:pt idx="0">
                  <c:v>22.255639097744361</c:v>
                </c:pt>
                <c:pt idx="1">
                  <c:v>22.255639097744361</c:v>
                </c:pt>
                <c:pt idx="2">
                  <c:v>22.096670247046191</c:v>
                </c:pt>
                <c:pt idx="3">
                  <c:v>22.096670247046191</c:v>
                </c:pt>
                <c:pt idx="4">
                  <c:v>22.096670247046191</c:v>
                </c:pt>
              </c:numCache>
            </c:numRef>
          </c:val>
        </c:ser>
        <c:marker val="1"/>
        <c:axId val="103672832"/>
        <c:axId val="103671296"/>
      </c:lineChart>
      <c:dateAx>
        <c:axId val="103655680"/>
        <c:scaling>
          <c:orientation val="minMax"/>
        </c:scaling>
        <c:axPos val="b"/>
        <c:numFmt formatCode="m/d/yyyy" sourceLinked="1"/>
        <c:majorTickMark val="none"/>
        <c:tickLblPos val="nextTo"/>
        <c:crossAx val="103669760"/>
        <c:crosses val="autoZero"/>
        <c:auto val="1"/>
        <c:lblOffset val="100"/>
      </c:dateAx>
      <c:valAx>
        <c:axId val="103669760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spPr>
          <a:ln w="6350">
            <a:noFill/>
          </a:ln>
        </c:spPr>
        <c:crossAx val="103655680"/>
        <c:crosses val="autoZero"/>
        <c:crossBetween val="between"/>
      </c:valAx>
      <c:valAx>
        <c:axId val="103671296"/>
        <c:scaling>
          <c:orientation val="minMax"/>
        </c:scaling>
        <c:axPos val="r"/>
        <c:numFmt formatCode="0.00" sourceLinked="1"/>
        <c:tickLblPos val="nextTo"/>
        <c:crossAx val="103672832"/>
        <c:crosses val="max"/>
        <c:crossBetween val="between"/>
      </c:valAx>
      <c:dateAx>
        <c:axId val="103672832"/>
        <c:scaling>
          <c:orientation val="minMax"/>
        </c:scaling>
        <c:delete val="1"/>
        <c:axPos val="b"/>
        <c:numFmt formatCode="m/d/yyyy" sourceLinked="1"/>
        <c:tickLblPos val="nextTo"/>
        <c:crossAx val="103671296"/>
        <c:crosses val="autoZero"/>
        <c:auto val="1"/>
        <c:lblOffset val="100"/>
      </c:dateAx>
    </c:plotArea>
    <c:legend>
      <c:legendPos val="b"/>
    </c:legend>
    <c:plotVisOnly val="1"/>
    <c:dispBlanksAs val="gap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rich>
          <a:bodyPr/>
          <a:lstStyle/>
          <a:p>
            <a:pPr>
              <a:defRPr/>
            </a:pPr>
            <a:r>
              <a:rPr lang="en-US"/>
              <a:t>Weight - Body Fat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Data!$B$6</c:f>
              <c:strCache>
                <c:ptCount val="1"/>
                <c:pt idx="0">
                  <c:v>Weight (pounds)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Data!$B$7:$B$11</c:f>
              <c:numCache>
                <c:formatCode>0.0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139</c:v>
                </c:pt>
                <c:pt idx="3">
                  <c:v>139</c:v>
                </c:pt>
                <c:pt idx="4">
                  <c:v>139</c:v>
                </c:pt>
              </c:numCache>
            </c:numRef>
          </c:val>
        </c:ser>
        <c:gapWidth val="75"/>
        <c:overlap val="-25"/>
        <c:axId val="104002688"/>
        <c:axId val="104004224"/>
      </c:barChart>
      <c:lineChart>
        <c:grouping val="standard"/>
        <c:ser>
          <c:idx val="1"/>
          <c:order val="1"/>
          <c:tx>
            <c:strRef>
              <c:f>Data!$J$6</c:f>
              <c:strCache>
                <c:ptCount val="1"/>
                <c:pt idx="0">
                  <c:v>Estimated Body Fat Percentage</c:v>
                </c:pt>
              </c:strCache>
            </c:strRef>
          </c:tx>
          <c:cat>
            <c:numRef>
              <c:f>Data!$A$7:$A$11</c:f>
              <c:numCache>
                <c:formatCode>m/d/yyyy</c:formatCode>
                <c:ptCount val="5"/>
                <c:pt idx="0">
                  <c:v>39083</c:v>
                </c:pt>
                <c:pt idx="1">
                  <c:v>39090</c:v>
                </c:pt>
                <c:pt idx="2">
                  <c:v>39097</c:v>
                </c:pt>
                <c:pt idx="3">
                  <c:v>39104</c:v>
                </c:pt>
                <c:pt idx="4">
                  <c:v>39111</c:v>
                </c:pt>
              </c:numCache>
            </c:numRef>
          </c:cat>
          <c:val>
            <c:numRef>
              <c:f>Data!$J$7:$J$11</c:f>
              <c:numCache>
                <c:formatCode>0.0</c:formatCode>
                <c:ptCount val="5"/>
                <c:pt idx="0">
                  <c:v>25.859567788899014</c:v>
                </c:pt>
                <c:pt idx="1">
                  <c:v>25.793387170154684</c:v>
                </c:pt>
                <c:pt idx="2">
                  <c:v>25.786145351234932</c:v>
                </c:pt>
                <c:pt idx="3">
                  <c:v>25.605489621042022</c:v>
                </c:pt>
                <c:pt idx="4">
                  <c:v>25.605489621042022</c:v>
                </c:pt>
              </c:numCache>
            </c:numRef>
          </c:val>
        </c:ser>
        <c:marker val="1"/>
        <c:axId val="104011648"/>
        <c:axId val="104010112"/>
      </c:lineChart>
      <c:dateAx>
        <c:axId val="104002688"/>
        <c:scaling>
          <c:orientation val="minMax"/>
        </c:scaling>
        <c:axPos val="b"/>
        <c:numFmt formatCode="m/d/yyyy" sourceLinked="1"/>
        <c:majorTickMark val="none"/>
        <c:tickLblPos val="nextTo"/>
        <c:crossAx val="104004224"/>
        <c:crosses val="autoZero"/>
        <c:auto val="1"/>
        <c:lblOffset val="100"/>
      </c:dateAx>
      <c:valAx>
        <c:axId val="104004224"/>
        <c:scaling>
          <c:orientation val="minMax"/>
        </c:scaling>
        <c:axPos val="l"/>
        <c:majorGridlines/>
        <c:numFmt formatCode="0.0" sourceLinked="1"/>
        <c:majorTickMark val="none"/>
        <c:tickLblPos val="nextTo"/>
        <c:spPr>
          <a:ln w="6350">
            <a:noFill/>
          </a:ln>
        </c:spPr>
        <c:crossAx val="104002688"/>
        <c:crosses val="autoZero"/>
        <c:crossBetween val="between"/>
      </c:valAx>
      <c:valAx>
        <c:axId val="104010112"/>
        <c:scaling>
          <c:orientation val="minMax"/>
        </c:scaling>
        <c:axPos val="r"/>
        <c:numFmt formatCode="0.0" sourceLinked="1"/>
        <c:tickLblPos val="nextTo"/>
        <c:crossAx val="104011648"/>
        <c:crosses val="max"/>
        <c:crossBetween val="between"/>
      </c:valAx>
      <c:dateAx>
        <c:axId val="104011648"/>
        <c:scaling>
          <c:orientation val="minMax"/>
        </c:scaling>
        <c:delete val="1"/>
        <c:axPos val="b"/>
        <c:numFmt formatCode="m/d/yyyy" sourceLinked="1"/>
        <c:tickLblPos val="nextTo"/>
        <c:crossAx val="104010112"/>
        <c:crosses val="autoZero"/>
        <c:auto val="1"/>
        <c:lblOffset val="100"/>
      </c:dateAx>
    </c:plotArea>
    <c:legend>
      <c:legendPos val="b"/>
    </c:legend>
    <c:plotVisOnly val="1"/>
    <c:dispBlanksAs val="gap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orientation="landscape" horizontalDpi="4294967292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95250</xdr:rowOff>
    </xdr:from>
    <xdr:ext cx="76200" cy="200025"/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76200" y="419100"/>
          <a:ext cx="76200" cy="2000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</xdr:sp>
    <xdr:clientData/>
  </xdr:oneCellAnchor>
  <xdr:oneCellAnchor>
    <xdr:from>
      <xdr:col>9</xdr:col>
      <xdr:colOff>876300</xdr:colOff>
      <xdr:row>0</xdr:row>
      <xdr:rowOff>152400</xdr:rowOff>
    </xdr:from>
    <xdr:ext cx="1466850" cy="1047750"/>
    <xdr:pic>
      <xdr:nvPicPr>
        <xdr:cNvPr id="3" name="Rectangl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20025" y="152400"/>
          <a:ext cx="1466850" cy="10477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695325" y="409575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733425" y="371475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676275" y="333375"/>
    <xdr:ext cx="7315200" cy="54864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A6:K11" totalsRowShown="0" headerRowDxfId="12" dataDxfId="11" headerRowCellStyle="Normal" dataCellStyle="Normal">
  <autoFilter ref="A6:K11"/>
  <tableColumns count="11">
    <tableColumn id="1" name="Date" dataDxfId="10" dataCellStyle="Normal"/>
    <tableColumn id="2" name="Weight (pounds)" dataDxfId="9" dataCellStyle="Normal"/>
    <tableColumn id="3" name="Chest (inches)" dataDxfId="8" dataCellStyle="Normal"/>
    <tableColumn id="4" name="Waist (inches)" dataDxfId="7" dataCellStyle="Normal"/>
    <tableColumn id="5" name="Hips (inches)" dataDxfId="6" dataCellStyle="Normal"/>
    <tableColumn id="6" name="Wrist (inches)" dataDxfId="5" dataCellStyle="Normal"/>
    <tableColumn id="7" name="Forearm (inches)" dataDxfId="4" dataCellStyle="Normal"/>
    <tableColumn id="8" name="Estimated Lean Body Weight" dataDxfId="3" dataCellStyle="Normal">
      <calculatedColumnFormula>((B7*0.732)+ 8.987)+(F7/3.14)-(D7*0.157)-(E7*0.249)+(G7*0.434)</calculatedColumnFormula>
    </tableColumn>
    <tableColumn id="9" name="Estimated Body Fat Weight" dataDxfId="2" dataCellStyle="Normal">
      <calculatedColumnFormula>B7-H7</calculatedColumnFormula>
    </tableColumn>
    <tableColumn id="10" name="Estimated Body Fat Percentage" dataDxfId="1" dataCellStyle="Normal">
      <calculatedColumnFormula>IF(ISERROR((I7*100)/B7),"",(I7*100)/B7)</calculatedColumnFormula>
    </tableColumn>
    <tableColumn id="11" name="Estimated Body Mass Index (BMI)" dataDxfId="0" dataCellStyle="Normal">
      <calculatedColumnFormula>(B7/(($B$3*12)+$B$4))/(($B$3*12)+$B$4)*703</calculatedColumnFormula>
    </tableColumn>
  </tableColumns>
  <tableStyleInfo name="Fitness Progress Chart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pulent">
      <a:dk1>
        <a:sysClr val="windowText" lastClr="000000"/>
      </a:dk1>
      <a:lt1>
        <a:sysClr val="window" lastClr="FFFFFF"/>
      </a:lt1>
      <a:dk2>
        <a:srgbClr val="B13F9A"/>
      </a:dk2>
      <a:lt2>
        <a:srgbClr val="F4E7ED"/>
      </a:lt2>
      <a:accent1>
        <a:srgbClr val="B83D68"/>
      </a:accent1>
      <a:accent2>
        <a:srgbClr val="AC66BB"/>
      </a:accent2>
      <a:accent3>
        <a:srgbClr val="DE6C36"/>
      </a:accent3>
      <a:accent4>
        <a:srgbClr val="F9B639"/>
      </a:accent4>
      <a:accent5>
        <a:srgbClr val="CF6DA4"/>
      </a:accent5>
      <a:accent6>
        <a:srgbClr val="FA8D3D"/>
      </a:accent6>
      <a:hlink>
        <a:srgbClr val="7B2F6B"/>
      </a:hlink>
      <a:folHlink>
        <a:srgbClr val="D59739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36"/>
  <sheetViews>
    <sheetView showGridLines="0" tabSelected="1" workbookViewId="0">
      <selection sqref="A1:K1"/>
    </sheetView>
  </sheetViews>
  <sheetFormatPr defaultRowHeight="15.95" customHeight="1"/>
  <cols>
    <col min="1" max="1" width="14.83203125" style="1" customWidth="1"/>
    <col min="2" max="2" width="12.33203125" style="1" bestFit="1" customWidth="1"/>
    <col min="3" max="6" width="11.5" style="1" bestFit="1" customWidth="1"/>
    <col min="7" max="7" width="12" style="1" bestFit="1" customWidth="1"/>
    <col min="8" max="8" width="18" style="1" bestFit="1" customWidth="1"/>
    <col min="9" max="10" width="18.33203125" style="1" bestFit="1" customWidth="1"/>
    <col min="11" max="11" width="25.5" style="1" bestFit="1" customWidth="1"/>
    <col min="12" max="16384" width="9.33203125" style="3"/>
  </cols>
  <sheetData>
    <row r="1" spans="1:11" s="1" customFormat="1" ht="48" customHeight="1">
      <c r="A1" s="23" t="s">
        <v>2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1:11" ht="12.75">
      <c r="J2" s="3"/>
      <c r="K2" s="3"/>
    </row>
    <row r="3" spans="1:11" s="7" customFormat="1" ht="15.75" customHeight="1">
      <c r="A3" s="15" t="s">
        <v>1</v>
      </c>
      <c r="B3" s="13">
        <v>5</v>
      </c>
      <c r="C3" s="6"/>
      <c r="D3" s="6"/>
      <c r="E3" s="6"/>
      <c r="F3" s="6"/>
      <c r="G3" s="6"/>
      <c r="H3" s="6"/>
      <c r="I3" s="6"/>
    </row>
    <row r="4" spans="1:11" s="11" customFormat="1" ht="15.75" customHeight="1">
      <c r="A4" s="16" t="s">
        <v>3</v>
      </c>
      <c r="B4" s="14">
        <v>6.5</v>
      </c>
      <c r="C4" s="10"/>
      <c r="D4" s="10"/>
      <c r="E4" s="10"/>
      <c r="F4" s="10"/>
      <c r="G4" s="10"/>
      <c r="H4" s="10"/>
      <c r="I4" s="10"/>
      <c r="J4" s="8"/>
      <c r="K4" s="9"/>
    </row>
    <row r="5" spans="1:11" ht="15" customHeight="1">
      <c r="J5" s="2"/>
      <c r="K5" s="2"/>
    </row>
    <row r="6" spans="1:11" s="12" customFormat="1" ht="25.5" customHeight="1">
      <c r="A6" s="21" t="s">
        <v>0</v>
      </c>
      <c r="B6" s="22" t="s">
        <v>4</v>
      </c>
      <c r="C6" s="22" t="s">
        <v>5</v>
      </c>
      <c r="D6" s="22" t="s">
        <v>6</v>
      </c>
      <c r="E6" s="22" t="s">
        <v>7</v>
      </c>
      <c r="F6" s="22" t="s">
        <v>8</v>
      </c>
      <c r="G6" s="22" t="s">
        <v>9</v>
      </c>
      <c r="H6" s="22" t="s">
        <v>10</v>
      </c>
      <c r="I6" s="22" t="s">
        <v>11</v>
      </c>
      <c r="J6" s="22" t="s">
        <v>12</v>
      </c>
      <c r="K6" s="22" t="s">
        <v>13</v>
      </c>
    </row>
    <row r="7" spans="1:11" s="4" customFormat="1" ht="15.95" customHeight="1">
      <c r="A7" s="17">
        <v>39083</v>
      </c>
      <c r="B7" s="18">
        <v>140</v>
      </c>
      <c r="C7" s="18">
        <v>32</v>
      </c>
      <c r="D7" s="18">
        <v>31</v>
      </c>
      <c r="E7" s="18">
        <v>40</v>
      </c>
      <c r="F7" s="18">
        <v>6.8</v>
      </c>
      <c r="G7" s="18">
        <v>11.5</v>
      </c>
      <c r="H7" s="19">
        <f>((B7*0.732)+ 8.987)+(F7/3.14)-(D7*0.157)-(E7*0.249)+(G7*0.434)</f>
        <v>103.79660509554138</v>
      </c>
      <c r="I7" s="19">
        <f>B7-H7</f>
        <v>36.203394904458619</v>
      </c>
      <c r="J7" s="19">
        <f t="shared" ref="J7:J11" si="0">IF(ISERROR((I7*100)/B7),"",(I7*100)/B7)</f>
        <v>25.859567788899014</v>
      </c>
      <c r="K7" s="20">
        <f>(B7/(($B$3*12)+$B$4))/(($B$3*12)+$B$4)*703</f>
        <v>22.255639097744361</v>
      </c>
    </row>
    <row r="8" spans="1:11" s="4" customFormat="1" ht="15.95" customHeight="1">
      <c r="A8" s="17">
        <v>39090</v>
      </c>
      <c r="B8" s="18">
        <v>140</v>
      </c>
      <c r="C8" s="18">
        <v>32</v>
      </c>
      <c r="D8" s="18">
        <v>31</v>
      </c>
      <c r="E8" s="18">
        <v>39.5</v>
      </c>
      <c r="F8" s="18">
        <v>6.7</v>
      </c>
      <c r="G8" s="18">
        <v>11.5</v>
      </c>
      <c r="H8" s="19">
        <f>((B8*0.732)+ 8.987)+(F8/3.14)-(D8*0.157)-(E8*0.249)+(G8*0.434)</f>
        <v>103.88925796178344</v>
      </c>
      <c r="I8" s="19">
        <f>B8-H8</f>
        <v>36.110742038216557</v>
      </c>
      <c r="J8" s="19">
        <f t="shared" si="0"/>
        <v>25.793387170154684</v>
      </c>
      <c r="K8" s="20">
        <f>(B8/(($B$3*12)+$B$4))/(($B$3*12)+$B$4)*703</f>
        <v>22.255639097744361</v>
      </c>
    </row>
    <row r="9" spans="1:11" s="4" customFormat="1" ht="15.95" customHeight="1">
      <c r="A9" s="17">
        <v>39097</v>
      </c>
      <c r="B9" s="18">
        <v>139</v>
      </c>
      <c r="C9" s="18">
        <v>32</v>
      </c>
      <c r="D9" s="18">
        <v>31</v>
      </c>
      <c r="E9" s="18">
        <v>39.5</v>
      </c>
      <c r="F9" s="18">
        <v>6.7</v>
      </c>
      <c r="G9" s="18">
        <v>11.5</v>
      </c>
      <c r="H9" s="19">
        <f>((B9*0.732)+ 8.987)+(F9/3.14)-(D9*0.157)-(E9*0.249)+(G9*0.434)</f>
        <v>103.15725796178344</v>
      </c>
      <c r="I9" s="19">
        <f>B9-H9</f>
        <v>35.842742038216556</v>
      </c>
      <c r="J9" s="19">
        <f t="shared" si="0"/>
        <v>25.786145351234932</v>
      </c>
      <c r="K9" s="20">
        <f>(B9/(($B$3*12)+$B$4))/(($B$3*12)+$B$4)*703</f>
        <v>22.096670247046191</v>
      </c>
    </row>
    <row r="10" spans="1:11" s="4" customFormat="1" ht="15.95" customHeight="1">
      <c r="A10" s="17">
        <v>39104</v>
      </c>
      <c r="B10" s="18">
        <v>139</v>
      </c>
      <c r="C10" s="18">
        <v>32</v>
      </c>
      <c r="D10" s="18">
        <v>28</v>
      </c>
      <c r="E10" s="18">
        <v>39</v>
      </c>
      <c r="F10" s="18">
        <v>6.3</v>
      </c>
      <c r="G10" s="18">
        <v>11</v>
      </c>
      <c r="H10" s="19">
        <f>((B10*0.732)+ 8.987)+(F10/3.14)-(D10*0.157)-(E10*0.249)+(G10*0.434)</f>
        <v>103.40836942675159</v>
      </c>
      <c r="I10" s="19">
        <f>B10-H10</f>
        <v>35.591630573248409</v>
      </c>
      <c r="J10" s="19">
        <f t="shared" si="0"/>
        <v>25.605489621042022</v>
      </c>
      <c r="K10" s="20">
        <f>(B10/(($B$3*12)+$B$4))/(($B$3*12)+$B$4)*703</f>
        <v>22.096670247046191</v>
      </c>
    </row>
    <row r="11" spans="1:11" s="4" customFormat="1" ht="15.95" customHeight="1">
      <c r="A11" s="17">
        <v>39111</v>
      </c>
      <c r="B11" s="18">
        <v>139</v>
      </c>
      <c r="C11" s="18">
        <v>32</v>
      </c>
      <c r="D11" s="18">
        <v>28</v>
      </c>
      <c r="E11" s="18">
        <v>39</v>
      </c>
      <c r="F11" s="18">
        <v>6.3</v>
      </c>
      <c r="G11" s="18">
        <v>11</v>
      </c>
      <c r="H11" s="19">
        <f>((B11*0.732)+ 8.987)+(F11/3.14)-(D11*0.157)-(E11*0.249)+(G11*0.434)</f>
        <v>103.40836942675159</v>
      </c>
      <c r="I11" s="19">
        <f>B11-H11</f>
        <v>35.591630573248409</v>
      </c>
      <c r="J11" s="19">
        <f t="shared" si="0"/>
        <v>25.605489621042022</v>
      </c>
      <c r="K11" s="20">
        <f>(B11/(($B$3*12)+$B$4))/(($B$3*12)+$B$4)*703</f>
        <v>22.096670247046191</v>
      </c>
    </row>
    <row r="12" spans="1:11" s="4" customFormat="1" ht="15.95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s="4" customFormat="1" ht="15.95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s="4" customFormat="1" ht="15.9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s="4" customFormat="1" ht="15.9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s="4" customFormat="1" ht="15.9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s="4" customFormat="1" ht="15.9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s="4" customFormat="1" ht="15.95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s="4" customFormat="1" ht="15.9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s="4" customFormat="1" ht="15.9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s="4" customFormat="1" ht="15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4" customFormat="1" ht="15.9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4" customFormat="1" ht="15.9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s="4" customFormat="1" ht="15.9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4" customFormat="1" ht="15.9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4" customFormat="1" ht="15.9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4" customFormat="1" ht="15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4" customFormat="1" ht="15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4" customFormat="1" ht="15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s="4" customFormat="1" ht="15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4" customFormat="1" ht="15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4" customFormat="1" ht="15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4" customFormat="1" ht="15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4" customFormat="1" ht="15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4" customFormat="1" ht="15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4" customFormat="1" ht="15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</sheetData>
  <mergeCells count="1">
    <mergeCell ref="A1:K1"/>
  </mergeCells>
  <phoneticPr fontId="1" type="noConversion"/>
  <printOptions horizontalCentered="1"/>
  <pageMargins left="0.5" right="0.5" top="0.75" bottom="0.75" header="0.5" footer="0.5"/>
  <pageSetup fitToHeight="0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Measurements</vt:lpstr>
      <vt:lpstr>Weight - BMI</vt:lpstr>
      <vt:lpstr>Weight - Body Fat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2006-08-10T17:58:29Z</dcterms:created>
  <dcterms:modified xsi:type="dcterms:W3CDTF">2006-11-07T23:42:59Z</dcterms:modified>
</cp:coreProperties>
</file>
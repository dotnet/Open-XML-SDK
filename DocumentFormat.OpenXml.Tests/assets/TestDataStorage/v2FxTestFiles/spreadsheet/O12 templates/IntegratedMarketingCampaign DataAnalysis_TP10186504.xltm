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360" yWindow="75" windowWidth="14550" windowHeight="7845" tabRatio="878"/>
  </bookViews>
  <sheets>
    <sheet name="Summary" sheetId="4" r:id="rId1"/>
    <sheet name="Summary Chart" sheetId="7" r:id="rId2"/>
    <sheet name="Summary Action Rates" sheetId="8" r:id="rId3"/>
    <sheet name="Summary Conversion Rates" sheetId="12" r:id="rId4"/>
    <sheet name="Keyword Search" sheetId="1" r:id="rId5"/>
    <sheet name="Keyword Search Chart" sheetId="14" r:id="rId6"/>
    <sheet name="Direct Mail" sheetId="17" r:id="rId7"/>
    <sheet name="Direct Mail Chart" sheetId="19" r:id="rId8"/>
  </sheets>
  <definedNames>
    <definedName name="Action_Types">Summary!#REF!</definedName>
    <definedName name="ActionTypes">Summary!$T$12:$T$19</definedName>
    <definedName name="Campaign_Names">Summary!$B$9:$F$9</definedName>
    <definedName name="Exposures" localSheetId="4">Summary!$B$14</definedName>
    <definedName name="_xlnm.Print_Area" localSheetId="6">'Direct Mail'!$A$2:$D$27</definedName>
    <definedName name="_xlnm.Print_Area" localSheetId="4">'Keyword Search'!$A$2:$D$27</definedName>
    <definedName name="_xlnm.Print_Area" localSheetId="0">Summary!$A$1:$H$34</definedName>
    <definedName name="Response_Types">Summary!#REF!</definedName>
    <definedName name="ResponseTypes">Summary!$O$12:$O$17</definedName>
    <definedName name="Sales_By_Campaign">Summary!$B$18:$F$18</definedName>
    <definedName name="Target_Action_Rate">Summary!$H$33</definedName>
    <definedName name="Target_Conversion_Rate">Summary!$H$34</definedName>
    <definedName name="Target_Response_Rate">Summary!$H$32</definedName>
  </definedNames>
  <calcPr calcId="124519"/>
  <webPublishing codePage="1252"/>
</workbook>
</file>

<file path=xl/calcChain.xml><?xml version="1.0" encoding="utf-8"?>
<calcChain xmlns="http://schemas.openxmlformats.org/spreadsheetml/2006/main">
  <c r="B23" i="4"/>
  <c r="B22"/>
  <c r="A5" i="1"/>
  <c r="A5" i="17"/>
  <c r="A1"/>
  <c r="C34"/>
  <c r="D34" s="1"/>
  <c r="C33"/>
  <c r="D33" s="1"/>
  <c r="C32"/>
  <c r="D32" s="1"/>
  <c r="D27"/>
  <c r="D26"/>
  <c r="D25"/>
  <c r="D24"/>
  <c r="D23"/>
  <c r="D22"/>
  <c r="C9" i="4"/>
  <c r="C34" i="1"/>
  <c r="D34" s="1"/>
  <c r="C33"/>
  <c r="D33" s="1"/>
  <c r="C32"/>
  <c r="D32" s="1"/>
  <c r="D27"/>
  <c r="D26"/>
  <c r="D25"/>
  <c r="D24"/>
  <c r="D23"/>
  <c r="D22"/>
  <c r="C26" i="4"/>
  <c r="C27"/>
  <c r="B27"/>
  <c r="B26"/>
  <c r="B25"/>
  <c r="C25"/>
  <c r="C23"/>
  <c r="C22"/>
  <c r="C21"/>
  <c r="B21"/>
  <c r="B16"/>
  <c r="B15"/>
  <c r="B9"/>
  <c r="A2"/>
  <c r="C18"/>
  <c r="B18"/>
  <c r="C16"/>
  <c r="G16" s="1"/>
  <c r="C15"/>
  <c r="C14"/>
  <c r="C11"/>
  <c r="B14"/>
  <c r="B11"/>
  <c r="G18"/>
  <c r="H18" s="1"/>
  <c r="G15"/>
  <c r="G14"/>
  <c r="G11"/>
  <c r="H11" s="1"/>
  <c r="H6"/>
  <c r="G22" l="1"/>
  <c r="G21"/>
  <c r="H14"/>
  <c r="G25"/>
  <c r="G23"/>
  <c r="H15"/>
  <c r="G26"/>
  <c r="H16"/>
  <c r="H26" s="1"/>
  <c r="H25" l="1"/>
  <c r="H23"/>
  <c r="H22"/>
  <c r="H21"/>
</calcChain>
</file>

<file path=xl/sharedStrings.xml><?xml version="1.0" encoding="utf-8"?>
<sst xmlns="http://schemas.openxmlformats.org/spreadsheetml/2006/main" count="95" uniqueCount="64">
  <si>
    <t>Response rate</t>
  </si>
  <si>
    <t>Action rate</t>
  </si>
  <si>
    <t>Conversion rate</t>
  </si>
  <si>
    <t>Cost per response</t>
  </si>
  <si>
    <t>Cost per action</t>
  </si>
  <si>
    <t>Responses</t>
  </si>
  <si>
    <t>Actions</t>
  </si>
  <si>
    <t>All Campaigns</t>
  </si>
  <si>
    <t>Average per Campaign</t>
  </si>
  <si>
    <t>Campaign Name 3</t>
  </si>
  <si>
    <t>Campaign Name 4</t>
  </si>
  <si>
    <t>Campaign Name 5</t>
  </si>
  <si>
    <t>Results</t>
  </si>
  <si>
    <t>Analysis</t>
  </si>
  <si>
    <t>Exposures</t>
  </si>
  <si>
    <t>Product sales</t>
  </si>
  <si>
    <t>Cost of campaign</t>
  </si>
  <si>
    <t>Average purchase value</t>
  </si>
  <si>
    <t>Numbers for Chart</t>
  </si>
  <si>
    <t>No response</t>
  </si>
  <si>
    <t>Response with no action</t>
  </si>
  <si>
    <t xml:space="preserve">Action </t>
  </si>
  <si>
    <t>Responses (choose option from list)</t>
  </si>
  <si>
    <t>Actions (choose option from list)</t>
  </si>
  <si>
    <t>Cost of campaigns</t>
  </si>
  <si>
    <t>Costs</t>
  </si>
  <si>
    <t>Target Metrics</t>
  </si>
  <si>
    <t>Response Rate:</t>
  </si>
  <si>
    <t>Action Rate:</t>
  </si>
  <si>
    <t>Conversion Rate:</t>
  </si>
  <si>
    <t>Completed online form or survey</t>
  </si>
  <si>
    <t>COSTS</t>
  </si>
  <si>
    <t>RESULTS</t>
  </si>
  <si>
    <t>ANAYLSIS</t>
  </si>
  <si>
    <t>TYPE</t>
  </si>
  <si>
    <t>Response Types</t>
  </si>
  <si>
    <t>Made phone call</t>
  </si>
  <si>
    <t>Returned form or survey by mail</t>
  </si>
  <si>
    <t>Sent fax</t>
  </si>
  <si>
    <t>Attended event</t>
  </si>
  <si>
    <t>Other</t>
  </si>
  <si>
    <t>Action Types</t>
  </si>
  <si>
    <t>Requested additional information</t>
  </si>
  <si>
    <t>Requested to be contacted</t>
  </si>
  <si>
    <t>Signed-up for a follow-up event</t>
  </si>
  <si>
    <t>Completed phone survey</t>
  </si>
  <si>
    <t>Completed paper form or survey</t>
  </si>
  <si>
    <t>Made a purchase</t>
  </si>
  <si>
    <t xml:space="preserve"> </t>
  </si>
  <si>
    <t>Keyword Search</t>
  </si>
  <si>
    <t>Direct Mail</t>
  </si>
  <si>
    <t>Visited Web site</t>
  </si>
  <si>
    <t>Downloaded from Web site</t>
  </si>
  <si>
    <t>PRODUCT: Contoso Premier</t>
  </si>
  <si>
    <t>Summary</t>
  </si>
  <si>
    <t>Contoso, Ltd</t>
  </si>
  <si>
    <t>OWNER:  Scott MacDonald</t>
  </si>
  <si>
    <t>DATE PREPARED: 7/6/2008</t>
  </si>
  <si>
    <t>CAMPAIGN BEGINNING: 4/1/2008</t>
  </si>
  <si>
    <t>CAMPAIGN ENDING: 6/30/2008</t>
  </si>
  <si>
    <t>CAMPAIGN BEGINNING: 5/22/08</t>
  </si>
  <si>
    <t>CAMPAIGN ENDING: 7/23/08</t>
  </si>
  <si>
    <t>DATE PREPARED: 8/2/08</t>
  </si>
  <si>
    <t>DATE PREPARED: 7/5/2008</t>
  </si>
</sst>
</file>

<file path=xl/styles.xml><?xml version="1.0" encoding="utf-8"?>
<styleSheet xmlns="http://schemas.openxmlformats.org/spreadsheetml/2006/main">
  <numFmts count="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>
    <font>
      <sz val="10"/>
      <name val="Arial"/>
    </font>
    <font>
      <sz val="8"/>
      <name val="Arial"/>
      <family val="2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9"/>
      <color rgb="FF333333"/>
      <name val="Calibri"/>
      <family val="2"/>
      <scheme val="minor"/>
    </font>
    <font>
      <sz val="18"/>
      <color rgb="FF648DC6"/>
      <name val="Calibri"/>
      <family val="2"/>
      <scheme val="minor"/>
    </font>
    <font>
      <sz val="14"/>
      <color rgb="FF648DC6"/>
      <name val="Calibri"/>
      <family val="2"/>
      <scheme val="minor"/>
    </font>
    <font>
      <b/>
      <sz val="14"/>
      <color rgb="FF648DC6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4"/>
      <color theme="2" tint="-0.74999237037263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9"/>
      <color rgb="FF33333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theme="0"/>
      </patternFill>
    </fill>
    <fill>
      <patternFill patternType="solid">
        <fgColor theme="0" tint="-0.14999847407452621"/>
        <bgColor indexed="65"/>
      </patternFill>
    </fill>
    <fill>
      <patternFill patternType="solid">
        <fgColor theme="0" tint="-0.14996795556505021"/>
        <bgColor indexed="65"/>
      </pattern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406F96"/>
      </top>
      <bottom style="thin">
        <color rgb="FF406F96"/>
      </bottom>
      <diagonal/>
    </border>
    <border>
      <left/>
      <right/>
      <top style="thin">
        <color rgb="FF546D8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hair">
        <color rgb="FF777777"/>
      </left>
      <right style="hair">
        <color rgb="FF777777"/>
      </right>
      <top/>
      <bottom/>
      <diagonal/>
    </border>
    <border>
      <left style="hair">
        <color rgb="FF777777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5"/>
      </top>
      <bottom/>
      <diagonal/>
    </border>
    <border>
      <left/>
      <right/>
      <top style="thin">
        <color theme="4"/>
      </top>
      <bottom/>
      <diagonal/>
    </border>
  </borders>
  <cellStyleXfs count="8">
    <xf numFmtId="0" fontId="0" fillId="0" borderId="0"/>
    <xf numFmtId="44" fontId="6" fillId="0" borderId="0" applyFont="0" applyFill="0" applyBorder="0" applyAlignment="0" applyProtection="0"/>
    <xf numFmtId="0" fontId="4" fillId="0" borderId="0" applyNumberFormat="0" applyFill="0" applyProtection="0">
      <alignment horizontal="left" wrapText="1"/>
    </xf>
    <xf numFmtId="49" fontId="7" fillId="0" borderId="1">
      <alignment wrapText="1"/>
    </xf>
    <xf numFmtId="49" fontId="10" fillId="0" borderId="0"/>
    <xf numFmtId="0" fontId="8" fillId="0" borderId="0"/>
    <xf numFmtId="0" fontId="9" fillId="0" borderId="0"/>
    <xf numFmtId="43" fontId="6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/>
    <xf numFmtId="38" fontId="3" fillId="0" borderId="0" xfId="0" applyNumberFormat="1" applyFont="1"/>
    <xf numFmtId="0" fontId="3" fillId="0" borderId="0" xfId="0" applyFont="1" applyFill="1" applyBorder="1"/>
    <xf numFmtId="0" fontId="9" fillId="0" borderId="0" xfId="6"/>
    <xf numFmtId="0" fontId="4" fillId="0" borderId="0" xfId="2" applyFill="1" applyAlignment="1">
      <alignment horizontal="left" wrapText="1"/>
    </xf>
    <xf numFmtId="0" fontId="3" fillId="0" borderId="0" xfId="0" applyFont="1" applyAlignment="1">
      <alignment wrapText="1"/>
    </xf>
    <xf numFmtId="38" fontId="3" fillId="0" borderId="0" xfId="0" applyNumberFormat="1" applyFont="1" applyAlignment="1">
      <alignment wrapText="1"/>
    </xf>
    <xf numFmtId="0" fontId="3" fillId="0" borderId="0" xfId="0" applyFont="1" applyFill="1" applyBorder="1" applyAlignment="1">
      <alignment horizontal="left" indent="2"/>
    </xf>
    <xf numFmtId="40" fontId="3" fillId="0" borderId="0" xfId="0" applyNumberFormat="1" applyFont="1" applyFill="1" applyBorder="1"/>
    <xf numFmtId="40" fontId="3" fillId="0" borderId="0" xfId="0" applyNumberFormat="1" applyFont="1" applyFill="1" applyBorder="1" applyAlignment="1">
      <alignment wrapText="1"/>
    </xf>
    <xf numFmtId="44" fontId="3" fillId="5" borderId="0" xfId="1" applyFont="1" applyFill="1" applyBorder="1" applyAlignment="1">
      <alignment horizontal="center" wrapText="1"/>
    </xf>
    <xf numFmtId="43" fontId="3" fillId="0" borderId="0" xfId="0" applyNumberFormat="1" applyFont="1" applyFill="1" applyBorder="1" applyAlignment="1">
      <alignment horizontal="right" vertical="center"/>
    </xf>
    <xf numFmtId="44" fontId="3" fillId="5" borderId="0" xfId="1" applyFont="1" applyFill="1" applyBorder="1" applyAlignment="1">
      <alignment horizontal="right" vertical="center" wrapText="1"/>
    </xf>
    <xf numFmtId="40" fontId="3" fillId="0" borderId="0" xfId="0" applyNumberFormat="1" applyFont="1" applyFill="1" applyBorder="1" applyAlignment="1">
      <alignment horizontal="right" vertical="center"/>
    </xf>
    <xf numFmtId="40" fontId="3" fillId="0" borderId="0" xfId="0" applyNumberFormat="1" applyFont="1" applyFill="1" applyBorder="1" applyAlignment="1">
      <alignment horizontal="right" vertical="center" wrapText="1"/>
    </xf>
    <xf numFmtId="40" fontId="5" fillId="0" borderId="0" xfId="0" applyNumberFormat="1" applyFont="1" applyFill="1" applyBorder="1" applyAlignment="1">
      <alignment horizontal="right" vertical="center"/>
    </xf>
    <xf numFmtId="10" fontId="3" fillId="4" borderId="0" xfId="0" applyNumberFormat="1" applyFont="1" applyFill="1" applyBorder="1"/>
    <xf numFmtId="10" fontId="3" fillId="4" borderId="0" xfId="0" applyNumberFormat="1" applyFont="1" applyFill="1" applyBorder="1" applyAlignment="1">
      <alignment wrapText="1"/>
    </xf>
    <xf numFmtId="44" fontId="3" fillId="5" borderId="0" xfId="0" applyNumberFormat="1" applyFont="1" applyFill="1" applyBorder="1" applyAlignment="1">
      <alignment wrapText="1"/>
    </xf>
    <xf numFmtId="0" fontId="9" fillId="0" borderId="0" xfId="6" applyAlignment="1">
      <alignment horizontal="right"/>
    </xf>
    <xf numFmtId="44" fontId="3" fillId="5" borderId="4" xfId="1" applyFont="1" applyFill="1" applyBorder="1" applyAlignment="1">
      <alignment horizontal="center" wrapText="1"/>
    </xf>
    <xf numFmtId="40" fontId="3" fillId="0" borderId="4" xfId="0" applyNumberFormat="1" applyFont="1" applyFill="1" applyBorder="1"/>
    <xf numFmtId="40" fontId="3" fillId="0" borderId="4" xfId="0" applyNumberFormat="1" applyFont="1" applyFill="1" applyBorder="1" applyAlignment="1">
      <alignment wrapText="1"/>
    </xf>
    <xf numFmtId="43" fontId="3" fillId="0" borderId="4" xfId="0" applyNumberFormat="1" applyFont="1" applyFill="1" applyBorder="1" applyAlignment="1">
      <alignment horizontal="right" vertical="center"/>
    </xf>
    <xf numFmtId="44" fontId="3" fillId="5" borderId="4" xfId="1" applyFont="1" applyFill="1" applyBorder="1" applyAlignment="1">
      <alignment horizontal="right" vertical="center" wrapText="1"/>
    </xf>
    <xf numFmtId="40" fontId="3" fillId="0" borderId="4" xfId="0" applyNumberFormat="1" applyFont="1" applyFill="1" applyBorder="1" applyAlignment="1">
      <alignment horizontal="right" vertical="center"/>
    </xf>
    <xf numFmtId="40" fontId="3" fillId="0" borderId="4" xfId="0" applyNumberFormat="1" applyFont="1" applyFill="1" applyBorder="1" applyAlignment="1">
      <alignment horizontal="right" vertical="center" wrapText="1"/>
    </xf>
    <xf numFmtId="40" fontId="5" fillId="0" borderId="4" xfId="0" applyNumberFormat="1" applyFont="1" applyFill="1" applyBorder="1" applyAlignment="1">
      <alignment horizontal="right" vertical="center"/>
    </xf>
    <xf numFmtId="43" fontId="3" fillId="5" borderId="4" xfId="0" applyNumberFormat="1" applyFont="1" applyFill="1" applyBorder="1" applyProtection="1">
      <protection locked="0"/>
    </xf>
    <xf numFmtId="44" fontId="3" fillId="5" borderId="4" xfId="0" applyNumberFormat="1" applyFont="1" applyFill="1" applyBorder="1" applyAlignment="1">
      <alignment wrapText="1"/>
    </xf>
    <xf numFmtId="10" fontId="3" fillId="4" borderId="4" xfId="0" applyNumberFormat="1" applyFont="1" applyFill="1" applyBorder="1"/>
    <xf numFmtId="10" fontId="3" fillId="4" borderId="4" xfId="0" applyNumberFormat="1" applyFont="1" applyFill="1" applyBorder="1" applyAlignment="1">
      <alignment wrapText="1"/>
    </xf>
    <xf numFmtId="0" fontId="11" fillId="0" borderId="0" xfId="0" applyFont="1" applyFill="1"/>
    <xf numFmtId="0" fontId="3" fillId="0" borderId="0" xfId="0" applyFont="1" applyBorder="1"/>
    <xf numFmtId="0" fontId="3" fillId="0" borderId="0" xfId="0" applyFont="1" applyFill="1"/>
    <xf numFmtId="44" fontId="3" fillId="0" borderId="5" xfId="0" applyNumberFormat="1" applyFont="1" applyBorder="1"/>
    <xf numFmtId="40" fontId="3" fillId="0" borderId="5" xfId="0" applyNumberFormat="1" applyFont="1" applyBorder="1"/>
    <xf numFmtId="44" fontId="3" fillId="5" borderId="5" xfId="0" applyNumberFormat="1" applyFont="1" applyFill="1" applyBorder="1"/>
    <xf numFmtId="44" fontId="3" fillId="6" borderId="5" xfId="0" applyNumberFormat="1" applyFont="1" applyFill="1" applyBorder="1"/>
    <xf numFmtId="0" fontId="12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2" applyFont="1" applyFill="1" applyAlignment="1">
      <alignment horizontal="left" wrapText="1"/>
    </xf>
    <xf numFmtId="0" fontId="11" fillId="0" borderId="0" xfId="0" applyFont="1" applyAlignment="1">
      <alignment vertical="center"/>
    </xf>
    <xf numFmtId="0" fontId="14" fillId="0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top"/>
    </xf>
    <xf numFmtId="37" fontId="3" fillId="0" borderId="5" xfId="0" applyNumberFormat="1" applyFont="1" applyBorder="1"/>
    <xf numFmtId="37" fontId="3" fillId="5" borderId="4" xfId="1" applyNumberFormat="1" applyFont="1" applyFill="1" applyBorder="1" applyAlignment="1">
      <alignment horizontal="right" vertical="center" wrapText="1"/>
    </xf>
    <xf numFmtId="37" fontId="3" fillId="5" borderId="0" xfId="1" applyNumberFormat="1" applyFont="1" applyFill="1" applyBorder="1" applyAlignment="1">
      <alignment horizontal="right" vertical="center" wrapText="1"/>
    </xf>
    <xf numFmtId="44" fontId="3" fillId="0" borderId="4" xfId="0" applyNumberFormat="1" applyFont="1" applyFill="1" applyBorder="1" applyAlignment="1">
      <alignment horizontal="right" vertical="center"/>
    </xf>
    <xf numFmtId="10" fontId="3" fillId="0" borderId="0" xfId="0" applyNumberFormat="1" applyFont="1" applyFill="1" applyBorder="1"/>
    <xf numFmtId="10" fontId="3" fillId="2" borderId="4" xfId="0" applyNumberFormat="1" applyFont="1" applyFill="1" applyBorder="1"/>
    <xf numFmtId="10" fontId="3" fillId="0" borderId="4" xfId="0" applyNumberFormat="1" applyFont="1" applyFill="1" applyBorder="1" applyAlignment="1" applyProtection="1">
      <alignment vertical="center"/>
      <protection locked="0"/>
    </xf>
    <xf numFmtId="10" fontId="3" fillId="3" borderId="4" xfId="0" applyNumberFormat="1" applyFont="1" applyFill="1" applyBorder="1" applyAlignment="1">
      <alignment wrapText="1"/>
    </xf>
    <xf numFmtId="10" fontId="3" fillId="3" borderId="0" xfId="0" applyNumberFormat="1" applyFont="1" applyFill="1" applyBorder="1" applyAlignment="1">
      <alignment wrapText="1"/>
    </xf>
    <xf numFmtId="10" fontId="3" fillId="2" borderId="0" xfId="0" applyNumberFormat="1" applyFont="1" applyFill="1" applyBorder="1"/>
    <xf numFmtId="0" fontId="9" fillId="0" borderId="0" xfId="6" applyFont="1"/>
    <xf numFmtId="10" fontId="3" fillId="2" borderId="5" xfId="0" applyNumberFormat="1" applyFont="1" applyFill="1" applyBorder="1"/>
    <xf numFmtId="44" fontId="3" fillId="0" borderId="5" xfId="1" applyFont="1" applyBorder="1"/>
    <xf numFmtId="0" fontId="9" fillId="0" borderId="0" xfId="6" applyFont="1" applyFill="1"/>
    <xf numFmtId="0" fontId="8" fillId="0" borderId="0" xfId="5" applyFont="1"/>
    <xf numFmtId="44" fontId="3" fillId="5" borderId="0" xfId="1" applyFont="1" applyFill="1" applyBorder="1"/>
    <xf numFmtId="44" fontId="3" fillId="5" borderId="4" xfId="1" applyFont="1" applyFill="1" applyBorder="1"/>
    <xf numFmtId="0" fontId="3" fillId="0" borderId="0" xfId="0" applyFont="1" applyFill="1" applyAlignment="1">
      <alignment wrapText="1"/>
    </xf>
    <xf numFmtId="38" fontId="3" fillId="0" borderId="0" xfId="0" applyNumberFormat="1" applyFont="1" applyFill="1"/>
    <xf numFmtId="44" fontId="3" fillId="0" borderId="4" xfId="1" applyFont="1" applyFill="1" applyBorder="1" applyAlignment="1">
      <alignment wrapText="1"/>
    </xf>
    <xf numFmtId="164" fontId="3" fillId="0" borderId="0" xfId="0" applyNumberFormat="1" applyFont="1" applyFill="1" applyBorder="1" applyAlignment="1">
      <alignment horizontal="right" vertical="center"/>
    </xf>
    <xf numFmtId="164" fontId="3" fillId="0" borderId="4" xfId="0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left" indent="1"/>
    </xf>
    <xf numFmtId="0" fontId="3" fillId="0" borderId="0" xfId="0" applyFont="1" applyFill="1" applyAlignment="1">
      <alignment horizontal="left" indent="1"/>
    </xf>
    <xf numFmtId="0" fontId="3" fillId="0" borderId="7" xfId="0" applyFont="1" applyBorder="1"/>
    <xf numFmtId="0" fontId="3" fillId="0" borderId="8" xfId="0" applyFont="1" applyBorder="1"/>
    <xf numFmtId="0" fontId="3" fillId="0" borderId="10" xfId="0" applyFont="1" applyBorder="1"/>
    <xf numFmtId="38" fontId="3" fillId="0" borderId="12" xfId="0" applyNumberFormat="1" applyFont="1" applyBorder="1"/>
    <xf numFmtId="0" fontId="3" fillId="0" borderId="13" xfId="0" applyFont="1" applyBorder="1"/>
    <xf numFmtId="0" fontId="4" fillId="0" borderId="6" xfId="0" applyFont="1" applyBorder="1"/>
    <xf numFmtId="0" fontId="4" fillId="0" borderId="9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12" xfId="0" applyFont="1" applyBorder="1"/>
    <xf numFmtId="7" fontId="3" fillId="5" borderId="4" xfId="0" applyNumberFormat="1" applyFont="1" applyFill="1" applyBorder="1" applyProtection="1">
      <protection locked="0"/>
    </xf>
    <xf numFmtId="7" fontId="3" fillId="0" borderId="4" xfId="1" applyNumberFormat="1" applyFont="1" applyFill="1" applyBorder="1" applyAlignment="1">
      <alignment horizontal="right" vertical="center" wrapText="1"/>
    </xf>
    <xf numFmtId="49" fontId="10" fillId="0" borderId="0" xfId="4"/>
    <xf numFmtId="44" fontId="3" fillId="0" borderId="5" xfId="0" quotePrefix="1" applyNumberFormat="1" applyFont="1" applyBorder="1"/>
    <xf numFmtId="0" fontId="2" fillId="0" borderId="0" xfId="0" applyFont="1" applyFill="1" applyBorder="1"/>
    <xf numFmtId="49" fontId="4" fillId="0" borderId="0" xfId="2" applyNumberFormat="1" applyFont="1" applyFill="1" applyAlignment="1">
      <alignment horizontal="left" wrapText="1"/>
    </xf>
    <xf numFmtId="49" fontId="10" fillId="7" borderId="2" xfId="3" applyFont="1" applyFill="1" applyBorder="1" applyAlignment="1"/>
    <xf numFmtId="0" fontId="4" fillId="9" borderId="0" xfId="0" applyFont="1" applyFill="1" applyBorder="1"/>
    <xf numFmtId="0" fontId="3" fillId="9" borderId="0" xfId="0" applyFont="1" applyFill="1" applyBorder="1" applyAlignment="1">
      <alignment wrapText="1"/>
    </xf>
    <xf numFmtId="0" fontId="3" fillId="8" borderId="0" xfId="0" applyFont="1" applyFill="1"/>
    <xf numFmtId="0" fontId="3" fillId="8" borderId="0" xfId="0" applyFont="1" applyFill="1" applyAlignment="1">
      <alignment horizontal="right" wrapText="1"/>
    </xf>
    <xf numFmtId="9" fontId="3" fillId="8" borderId="0" xfId="0" applyNumberFormat="1" applyFont="1" applyFill="1" applyAlignment="1">
      <alignment wrapText="1"/>
    </xf>
    <xf numFmtId="0" fontId="3" fillId="8" borderId="3" xfId="0" applyFont="1" applyFill="1" applyBorder="1"/>
    <xf numFmtId="0" fontId="3" fillId="8" borderId="3" xfId="0" applyFont="1" applyFill="1" applyBorder="1" applyAlignment="1">
      <alignment horizontal="right" wrapText="1"/>
    </xf>
    <xf numFmtId="9" fontId="3" fillId="8" borderId="3" xfId="0" applyNumberFormat="1" applyFont="1" applyFill="1" applyBorder="1" applyAlignment="1">
      <alignment wrapText="1"/>
    </xf>
    <xf numFmtId="0" fontId="3" fillId="8" borderId="0" xfId="0" applyFont="1" applyFill="1" applyAlignment="1"/>
    <xf numFmtId="164" fontId="3" fillId="8" borderId="0" xfId="7" applyNumberFormat="1" applyFont="1" applyFill="1" applyAlignment="1">
      <alignment horizontal="right"/>
    </xf>
    <xf numFmtId="10" fontId="3" fillId="8" borderId="0" xfId="0" applyNumberFormat="1" applyFont="1" applyFill="1" applyAlignment="1">
      <alignment wrapText="1"/>
    </xf>
    <xf numFmtId="0" fontId="3" fillId="8" borderId="3" xfId="0" applyFont="1" applyFill="1" applyBorder="1" applyAlignment="1">
      <alignment horizontal="left" wrapText="1"/>
    </xf>
    <xf numFmtId="164" fontId="3" fillId="8" borderId="3" xfId="7" applyNumberFormat="1" applyFont="1" applyFill="1" applyBorder="1" applyAlignment="1">
      <alignment horizontal="right"/>
    </xf>
    <xf numFmtId="10" fontId="3" fillId="8" borderId="3" xfId="0" applyNumberFormat="1" applyFont="1" applyFill="1" applyBorder="1" applyAlignment="1">
      <alignment wrapText="1"/>
    </xf>
    <xf numFmtId="0" fontId="4" fillId="8" borderId="14" xfId="0" applyFont="1" applyFill="1" applyBorder="1"/>
    <xf numFmtId="0" fontId="3" fillId="8" borderId="14" xfId="0" applyFont="1" applyFill="1" applyBorder="1"/>
    <xf numFmtId="0" fontId="4" fillId="8" borderId="14" xfId="0" applyFont="1" applyFill="1" applyBorder="1" applyAlignment="1">
      <alignment horizontal="center" wrapText="1"/>
    </xf>
    <xf numFmtId="0" fontId="3" fillId="8" borderId="14" xfId="0" applyFont="1" applyFill="1" applyBorder="1" applyAlignment="1">
      <alignment wrapText="1"/>
    </xf>
    <xf numFmtId="0" fontId="16" fillId="0" borderId="0" xfId="0" applyFont="1" applyAlignment="1">
      <alignment vertical="center"/>
    </xf>
    <xf numFmtId="38" fontId="5" fillId="8" borderId="14" xfId="0" applyNumberFormat="1" applyFont="1" applyFill="1" applyBorder="1"/>
    <xf numFmtId="38" fontId="3" fillId="8" borderId="14" xfId="0" applyNumberFormat="1" applyFont="1" applyFill="1" applyBorder="1"/>
    <xf numFmtId="38" fontId="3" fillId="8" borderId="14" xfId="0" applyNumberFormat="1" applyFont="1" applyFill="1" applyBorder="1" applyAlignment="1">
      <alignment wrapText="1"/>
    </xf>
    <xf numFmtId="44" fontId="3" fillId="0" borderId="4" xfId="0" applyNumberFormat="1" applyFont="1" applyFill="1" applyBorder="1" applyAlignment="1">
      <alignment wrapText="1"/>
    </xf>
    <xf numFmtId="44" fontId="3" fillId="0" borderId="0" xfId="0" applyNumberFormat="1" applyFont="1" applyFill="1" applyBorder="1" applyAlignment="1">
      <alignment wrapText="1"/>
    </xf>
    <xf numFmtId="0" fontId="3" fillId="0" borderId="14" xfId="0" applyFont="1" applyFill="1" applyBorder="1"/>
    <xf numFmtId="38" fontId="3" fillId="0" borderId="14" xfId="0" applyNumberFormat="1" applyFont="1" applyBorder="1"/>
    <xf numFmtId="38" fontId="3" fillId="0" borderId="14" xfId="0" applyNumberFormat="1" applyFont="1" applyBorder="1" applyAlignment="1">
      <alignment wrapText="1"/>
    </xf>
    <xf numFmtId="0" fontId="3" fillId="0" borderId="0" xfId="0" applyFont="1" applyFill="1" applyBorder="1" applyAlignment="1">
      <alignment horizontal="left" indent="1"/>
    </xf>
    <xf numFmtId="0" fontId="3" fillId="0" borderId="14" xfId="0" applyFont="1" applyBorder="1"/>
    <xf numFmtId="0" fontId="4" fillId="0" borderId="0" xfId="0" applyFont="1"/>
    <xf numFmtId="0" fontId="17" fillId="0" borderId="0" xfId="6" applyFont="1"/>
    <xf numFmtId="49" fontId="10" fillId="7" borderId="15" xfId="3" applyFont="1" applyFill="1" applyBorder="1" applyAlignment="1"/>
    <xf numFmtId="0" fontId="3" fillId="7" borderId="15" xfId="0" applyFont="1" applyFill="1" applyBorder="1"/>
    <xf numFmtId="0" fontId="3" fillId="7" borderId="15" xfId="0" applyFont="1" applyFill="1" applyBorder="1" applyAlignment="1">
      <alignment wrapText="1"/>
    </xf>
    <xf numFmtId="0" fontId="3" fillId="7" borderId="15" xfId="0" applyFont="1" applyFill="1" applyBorder="1" applyAlignment="1">
      <alignment horizontal="right" wrapText="1"/>
    </xf>
  </cellXfs>
  <cellStyles count="8">
    <cellStyle name="Comma" xfId="7" builtinId="3"/>
    <cellStyle name="Company name" xfId="5"/>
    <cellStyle name="Currency" xfId="1" builtinId="4"/>
    <cellStyle name="Date, etc." xfId="6"/>
    <cellStyle name="Heading 1" xfId="2" builtinId="16" customBuiltin="1"/>
    <cellStyle name="Normal" xfId="0" builtinId="0"/>
    <cellStyle name="Style 1" xfId="3"/>
    <cellStyle name="Title" xfId="4" builtinId="15" customBuiltin="1"/>
  </cellStyles>
  <dxfs count="54"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7"/>
      </font>
      <fill>
        <patternFill patternType="solid">
          <fgColor indexed="64"/>
          <bgColor rgb="FFC6EFCE"/>
        </patternFill>
      </fill>
    </dxf>
    <dxf>
      <font>
        <color indexed="16"/>
      </font>
      <fill>
        <patternFill patternType="solid">
          <fgColor indexed="64"/>
          <bgColor rgb="FFFFC7CE"/>
        </patternFill>
      </fill>
    </dxf>
  </dxfs>
  <tableStyles count="0" defaultTableStyle="TableStyleMedium9" defaultPivotStyle="PivotStyleLight16"/>
  <colors>
    <mruColors>
      <color rgb="FFAED4B4"/>
      <color rgb="FF648DC6"/>
      <color rgb="FF546D80"/>
      <color rgb="FF777777"/>
      <color rgb="FFE0E9F4"/>
      <color rgb="FFA6BEDE"/>
      <color rgb="FFAE966F"/>
      <color rgb="FFFFC7CE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7"/>
  <c:chart>
    <c:title>
      <c:tx>
        <c:rich>
          <a:bodyPr/>
          <a:lstStyle/>
          <a:p>
            <a:pPr>
              <a:defRPr/>
            </a:pPr>
            <a:r>
              <a:rPr lang="en-US"/>
              <a:t>Exposure Analysis for Summary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Summary!$A$21</c:f>
              <c:strCache>
                <c:ptCount val="1"/>
                <c:pt idx="0">
                  <c:v>Response rate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dPt>
            <c:idx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dPt>
          <c:dPt>
            <c:idx val="6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dPt>
          <c:dLbls>
            <c:delete val="1"/>
          </c:dLbls>
          <c:cat>
            <c:strRef>
              <c:f>Summary!$B$9:$H$9</c:f>
              <c:strCache>
                <c:ptCount val="7"/>
                <c:pt idx="0">
                  <c:v>Keyword Search</c:v>
                </c:pt>
                <c:pt idx="1">
                  <c:v>Direct Mail</c:v>
                </c:pt>
                <c:pt idx="2">
                  <c:v>Campaign Name 3</c:v>
                </c:pt>
                <c:pt idx="3">
                  <c:v>Campaign Name 4</c:v>
                </c:pt>
                <c:pt idx="4">
                  <c:v>Campaign Name 5</c:v>
                </c:pt>
                <c:pt idx="5">
                  <c:v>All Campaigns</c:v>
                </c:pt>
                <c:pt idx="6">
                  <c:v>Average per Campaign</c:v>
                </c:pt>
              </c:strCache>
            </c:strRef>
          </c:cat>
          <c:val>
            <c:numRef>
              <c:f>Summary!$B$21:$H$21</c:f>
              <c:numCache>
                <c:formatCode>0.00%</c:formatCode>
                <c:ptCount val="7"/>
                <c:pt idx="0">
                  <c:v>5.3884297520661158E-2</c:v>
                </c:pt>
                <c:pt idx="1">
                  <c:v>4.6923076923076922E-2</c:v>
                </c:pt>
                <c:pt idx="5">
                  <c:v>5.2653061224489796E-2</c:v>
                </c:pt>
                <c:pt idx="6">
                  <c:v>5.2653061224489796E-2</c:v>
                </c:pt>
              </c:numCache>
            </c:numRef>
          </c:val>
        </c:ser>
        <c:dLbls>
          <c:showVal val="1"/>
        </c:dLbls>
        <c:shape val="box"/>
        <c:axId val="77145600"/>
        <c:axId val="77147520"/>
        <c:axId val="59976768"/>
      </c:bar3DChart>
      <c:catAx>
        <c:axId val="7714560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147520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77147520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7145600"/>
        <c:crossesAt val="1"/>
        <c:crossBetween val="between"/>
      </c:valAx>
      <c:serAx>
        <c:axId val="59976768"/>
        <c:scaling>
          <c:orientation val="minMax"/>
        </c:scaling>
        <c:delete val="1"/>
        <c:axPos val="b"/>
        <c:tickLblPos val="nextTo"/>
        <c:crossAx val="77147520"/>
        <c:crosses val="autoZero"/>
      </c:serAx>
    </c:plotArea>
    <c:legend>
      <c:legendPos val="r"/>
      <c:layout/>
    </c:legend>
    <c:plotVisOnly val="1"/>
    <c:dispBlanksAs val="gap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7"/>
  <c:chart>
    <c:title>
      <c:tx>
        <c:rich>
          <a:bodyPr/>
          <a:lstStyle/>
          <a:p>
            <a:pPr>
              <a:defRPr/>
            </a:pPr>
            <a:r>
              <a:rPr lang="en-US"/>
              <a:t>Contoso Premier </a:t>
            </a:r>
          </a:p>
          <a:p>
            <a:pPr>
              <a:defRPr/>
            </a:pPr>
            <a:r>
              <a:rPr lang="en-US"/>
              <a:t>Action Rates - All Campaigns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Summary!$A$22</c:f>
              <c:strCache>
                <c:ptCount val="1"/>
                <c:pt idx="0">
                  <c:v>Action rate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dLbls>
            <c:delete val="1"/>
          </c:dLbls>
          <c:cat>
            <c:strRef>
              <c:f>Summary!$B$9:$H$9</c:f>
              <c:strCache>
                <c:ptCount val="7"/>
                <c:pt idx="0">
                  <c:v>Keyword Search</c:v>
                </c:pt>
                <c:pt idx="1">
                  <c:v>Direct Mail</c:v>
                </c:pt>
                <c:pt idx="2">
                  <c:v>Campaign Name 3</c:v>
                </c:pt>
                <c:pt idx="3">
                  <c:v>Campaign Name 4</c:v>
                </c:pt>
                <c:pt idx="4">
                  <c:v>Campaign Name 5</c:v>
                </c:pt>
                <c:pt idx="5">
                  <c:v>All Campaigns</c:v>
                </c:pt>
                <c:pt idx="6">
                  <c:v>Average per Campaign</c:v>
                </c:pt>
              </c:strCache>
            </c:strRef>
          </c:cat>
          <c:val>
            <c:numRef>
              <c:f>Summary!$B$22:$H$22</c:f>
              <c:numCache>
                <c:formatCode>0.00%</c:formatCode>
                <c:ptCount val="7"/>
                <c:pt idx="0">
                  <c:v>5.9669421487603307E-3</c:v>
                </c:pt>
                <c:pt idx="1">
                  <c:v>2.4346153846153847E-2</c:v>
                </c:pt>
                <c:pt idx="5">
                  <c:v>9.2176870748299326E-3</c:v>
                </c:pt>
                <c:pt idx="6">
                  <c:v>9.2176870748299326E-3</c:v>
                </c:pt>
              </c:numCache>
            </c:numRef>
          </c:val>
        </c:ser>
        <c:dLbls>
          <c:showVal val="1"/>
        </c:dLbls>
        <c:shape val="box"/>
        <c:axId val="87655552"/>
        <c:axId val="87657472"/>
        <c:axId val="68176064"/>
      </c:bar3DChart>
      <c:catAx>
        <c:axId val="8765555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765747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7657472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7655552"/>
        <c:crossesAt val="1"/>
        <c:crossBetween val="between"/>
      </c:valAx>
      <c:serAx>
        <c:axId val="68176064"/>
        <c:scaling>
          <c:orientation val="minMax"/>
        </c:scaling>
        <c:delete val="1"/>
        <c:axPos val="b"/>
        <c:tickLblPos val="nextTo"/>
        <c:crossAx val="87657472"/>
        <c:crosses val="autoZero"/>
      </c:serAx>
    </c:plotArea>
    <c:legend>
      <c:legendPos val="r"/>
      <c:layout/>
    </c:legend>
    <c:plotVisOnly val="1"/>
    <c:dispBlanksAs val="gap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 baseline="0" smtClean="0"/>
              <a:t>Contoso Premier</a:t>
            </a:r>
            <a:endParaRPr lang="en-US"/>
          </a:p>
          <a:p>
            <a:pPr>
              <a:defRPr/>
            </a:pPr>
            <a:r>
              <a:rPr lang="en-US" smtClean="0"/>
              <a:t>Conversion </a:t>
            </a:r>
            <a:r>
              <a:rPr lang="en-US"/>
              <a:t>Rates - All Campaigns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spPr>
            <a:solidFill>
              <a:srgbClr val="9999FF"/>
            </a:solidFill>
          </c:spPr>
          <c:dPt>
            <c:idx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dPt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dPt>
          <c:dPt>
            <c:idx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dPt>
          <c:dPt>
            <c:idx val="6"/>
            <c:spPr>
              <a:solidFill>
                <a:srgbClr val="AED4B4"/>
              </a:solidFill>
            </c:spPr>
          </c:dPt>
          <c:dLbls>
            <c:delete val="1"/>
          </c:dLbls>
          <c:cat>
            <c:strRef>
              <c:f>Summary!$B$9:$H$9</c:f>
              <c:strCache>
                <c:ptCount val="7"/>
                <c:pt idx="0">
                  <c:v>Keyword Search</c:v>
                </c:pt>
                <c:pt idx="1">
                  <c:v>Direct Mail</c:v>
                </c:pt>
                <c:pt idx="2">
                  <c:v>Campaign Name 3</c:v>
                </c:pt>
                <c:pt idx="3">
                  <c:v>Campaign Name 4</c:v>
                </c:pt>
                <c:pt idx="4">
                  <c:v>Campaign Name 5</c:v>
                </c:pt>
                <c:pt idx="5">
                  <c:v>All Campaigns</c:v>
                </c:pt>
                <c:pt idx="6">
                  <c:v>Average per Campaign</c:v>
                </c:pt>
              </c:strCache>
            </c:strRef>
          </c:cat>
          <c:val>
            <c:numRef>
              <c:f>Summary!$B$23:$H$23</c:f>
              <c:numCache>
                <c:formatCode>0.00%</c:formatCode>
                <c:ptCount val="7"/>
                <c:pt idx="0">
                  <c:v>0.1107361963190184</c:v>
                </c:pt>
                <c:pt idx="1">
                  <c:v>0.51885245901639343</c:v>
                </c:pt>
                <c:pt idx="5">
                  <c:v>0.17506459948320413</c:v>
                </c:pt>
                <c:pt idx="6">
                  <c:v>0.17506459948320413</c:v>
                </c:pt>
              </c:numCache>
            </c:numRef>
          </c:val>
        </c:ser>
        <c:dLbls>
          <c:showVal val="1"/>
        </c:dLbls>
        <c:shape val="box"/>
        <c:axId val="87765376"/>
        <c:axId val="87767296"/>
        <c:axId val="0"/>
      </c:bar3DChart>
      <c:catAx>
        <c:axId val="8776537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776729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7767296"/>
        <c:scaling>
          <c:orientation val="minMax"/>
        </c:scaling>
        <c:axPos val="l"/>
        <c:majorGridlines/>
        <c:numFmt formatCode="0.00%" sourceLinked="1"/>
        <c:maj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7765376"/>
        <c:crossesAt val="1"/>
        <c:crossBetween val="between"/>
      </c:valAx>
    </c:plotArea>
    <c:legend>
      <c:legendPos val="r"/>
      <c:layout/>
    </c:legend>
    <c:plotVisOnly val="1"/>
    <c:dispBlanksAs val="gap"/>
  </c:chart>
  <c:spPr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Exposure Analysis for Keyword Search</a:t>
            </a:r>
          </a:p>
        </c:rich>
      </c:tx>
      <c:layout/>
    </c:title>
    <c:view3D>
      <c:perspective val="30"/>
    </c:view3D>
    <c:plotArea>
      <c:layout/>
      <c:pie3D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dPt>
          <c:dPt>
            <c:idx val="1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dPt>
          <c:dPt>
            <c:idx val="2"/>
            <c:spPr>
              <a:solidFill>
                <a:schemeClr val="bg2"/>
              </a:solidFill>
              <a:ln>
                <a:solidFill>
                  <a:schemeClr val="bg2"/>
                </a:solidFill>
              </a:ln>
            </c:spPr>
          </c:dPt>
          <c:dLbls>
            <c:dLbl>
              <c:idx val="2"/>
              <c:layout>
                <c:manualLayout>
                  <c:x val="5.0971254332809773E-2"/>
                  <c:y val="-2.5577449785604408E-3"/>
                </c:manualLayout>
              </c:layout>
              <c:showCatName val="1"/>
              <c:showPercent val="1"/>
              <c:separator>
</c:separator>
            </c:dLbl>
            <c:numFmt formatCode="0.00%" sourceLinked="0"/>
            <c:showCatName val="1"/>
            <c:showPercent val="1"/>
            <c:separator>
</c:separator>
            <c:showLeaderLines val="1"/>
          </c:dLbls>
          <c:cat>
            <c:strRef>
              <c:f>'Keyword Search'!$B$32:$B$34</c:f>
              <c:strCache>
                <c:ptCount val="3"/>
                <c:pt idx="0">
                  <c:v>No response</c:v>
                </c:pt>
                <c:pt idx="1">
                  <c:v>Response with no action</c:v>
                </c:pt>
                <c:pt idx="2">
                  <c:v>Action </c:v>
                </c:pt>
              </c:strCache>
            </c:strRef>
          </c:cat>
          <c:val>
            <c:numRef>
              <c:f>'Keyword Search'!$C$32:$C$34</c:f>
              <c:numCache>
                <c:formatCode>_(* #,##0_);_(* \(#,##0\);_(* "-"??_);_(@_)</c:formatCode>
                <c:ptCount val="3"/>
                <c:pt idx="0">
                  <c:v>114480</c:v>
                </c:pt>
                <c:pt idx="1">
                  <c:v>5798</c:v>
                </c:pt>
                <c:pt idx="2">
                  <c:v>722</c:v>
                </c:pt>
              </c:numCache>
            </c:numRef>
          </c:val>
        </c:ser>
        <c:ser>
          <c:idx val="1"/>
          <c:order val="1"/>
          <c:dLbls>
            <c:numFmt formatCode="0%" sourceLinked="0"/>
            <c:showPercent val="1"/>
            <c:separator>
</c:separator>
            <c:showLeaderLines val="1"/>
          </c:dLbls>
          <c:cat>
            <c:strRef>
              <c:f>'Keyword Search'!$B$32:$B$34</c:f>
              <c:strCache>
                <c:ptCount val="3"/>
                <c:pt idx="0">
                  <c:v>No response</c:v>
                </c:pt>
                <c:pt idx="1">
                  <c:v>Response with no action</c:v>
                </c:pt>
                <c:pt idx="2">
                  <c:v>Action </c:v>
                </c:pt>
              </c:strCache>
            </c:strRef>
          </c:cat>
          <c:val>
            <c:numRef>
              <c:f>'Keyword Search'!$D$32:$D$34</c:f>
              <c:numCache>
                <c:formatCode>0.00%</c:formatCode>
                <c:ptCount val="3"/>
                <c:pt idx="0">
                  <c:v>0.94611570247933885</c:v>
                </c:pt>
                <c:pt idx="1">
                  <c:v>4.7917355371900824E-2</c:v>
                </c:pt>
                <c:pt idx="2">
                  <c:v>5.9669421487603307E-3</c:v>
                </c:pt>
              </c:numCache>
            </c:numRef>
          </c:val>
        </c:ser>
        <c:dLbls>
          <c:showVal val="1"/>
          <c:showPercent val="1"/>
          <c:separator>
</c:separator>
        </c:dLbls>
      </c:pie3DChart>
    </c:plotArea>
    <c:legend>
      <c:legendPos val="r"/>
      <c:layout/>
    </c:legend>
    <c:plotVisOnly val="1"/>
    <c:dispBlanksAs val="zero"/>
  </c:chart>
  <c:spPr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Exposure Analysis for Direct Mail</a:t>
            </a:r>
          </a:p>
        </c:rich>
      </c:tx>
    </c:title>
    <c:view3D>
      <c:perspective val="30"/>
    </c:view3D>
    <c:plotArea>
      <c:layout/>
      <c:pie3DChart>
        <c:varyColors val="1"/>
        <c:ser>
          <c:idx val="0"/>
          <c:order val="0"/>
          <c:dLbls>
            <c:numFmt formatCode="0.00%" sourceLinked="0"/>
            <c:showCatName val="1"/>
            <c:showPercent val="1"/>
            <c:showLeaderLines val="1"/>
          </c:dLbls>
          <c:cat>
            <c:strRef>
              <c:f>'Direct Mail'!$B$32:$B$34</c:f>
              <c:strCache>
                <c:ptCount val="3"/>
                <c:pt idx="0">
                  <c:v>No response</c:v>
                </c:pt>
                <c:pt idx="1">
                  <c:v>Response with no action</c:v>
                </c:pt>
                <c:pt idx="2">
                  <c:v>Action </c:v>
                </c:pt>
              </c:strCache>
            </c:strRef>
          </c:cat>
          <c:val>
            <c:numRef>
              <c:f>'Direct Mail'!$C$32:$C$34</c:f>
              <c:numCache>
                <c:formatCode>_(* #,##0_);_(* \(#,##0\);_(* "-"??_);_(@_)</c:formatCode>
                <c:ptCount val="3"/>
                <c:pt idx="0">
                  <c:v>24780</c:v>
                </c:pt>
                <c:pt idx="1">
                  <c:v>587</c:v>
                </c:pt>
                <c:pt idx="2">
                  <c:v>633</c:v>
                </c:pt>
              </c:numCache>
            </c:numRef>
          </c:val>
        </c:ser>
        <c:ser>
          <c:idx val="1"/>
          <c:order val="1"/>
          <c:dLbls>
            <c:numFmt formatCode="0%" sourceLinked="0"/>
            <c:showPercent val="1"/>
            <c:showLeaderLines val="1"/>
          </c:dLbls>
          <c:cat>
            <c:strRef>
              <c:f>'Direct Mail'!$B$32:$B$34</c:f>
              <c:strCache>
                <c:ptCount val="3"/>
                <c:pt idx="0">
                  <c:v>No response</c:v>
                </c:pt>
                <c:pt idx="1">
                  <c:v>Response with no action</c:v>
                </c:pt>
                <c:pt idx="2">
                  <c:v>Action </c:v>
                </c:pt>
              </c:strCache>
            </c:strRef>
          </c:cat>
          <c:val>
            <c:numRef>
              <c:f>'Direct Mail'!$D$32:$D$34</c:f>
              <c:numCache>
                <c:formatCode>0%</c:formatCode>
                <c:ptCount val="3"/>
                <c:pt idx="0">
                  <c:v>0.95307692307692304</c:v>
                </c:pt>
                <c:pt idx="1">
                  <c:v>2.2576923076923078E-2</c:v>
                </c:pt>
                <c:pt idx="2">
                  <c:v>2.4346153846153847E-2</c:v>
                </c:pt>
              </c:numCache>
            </c:numRef>
          </c:val>
        </c:ser>
      </c:pie3DChart>
    </c:plotArea>
    <c:legend>
      <c:legendPos val="r"/>
    </c:legend>
    <c:plotVisOnly val="1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16">
    <tabColor rgb="FFAED4B4"/>
  </sheetPr>
  <sheetViews>
    <sheetView zoomScale="79" workbookViewId="0" zoomToFit="1"/>
  </sheetViews>
  <pageMargins left="0.7" right="0.7" top="0.75" bottom="0.75" header="0.5" footer="0.5"/>
  <pageSetup firstPageNumber="26214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published="0" codeName="Chart17">
    <tabColor theme="2" tint="-0.249977111117893"/>
  </sheetPr>
  <sheetViews>
    <sheetView zoomScale="79" workbookViewId="0" zoomToFit="1"/>
  </sheetViews>
  <pageMargins left="0.7" right="0.7" top="0.75" bottom="0.75" header="0.5" footer="0.5"/>
  <pageSetup firstPageNumber="26214" orientation="landscape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published="0" codeName="Chart18">
    <tabColor theme="8" tint="0.59999389629810485"/>
  </sheetPr>
  <sheetViews>
    <sheetView zoomScale="79" workbookViewId="0" zoomToFit="1"/>
  </sheetViews>
  <pageMargins left="0.7" right="0.7" top="0.75" bottom="0.75" header="0.5" footer="0.5"/>
  <pageSetup firstPageNumber="26214" orientation="landscape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published="0" codeName="Chart19">
    <tabColor rgb="FFAED4B4"/>
  </sheetPr>
  <sheetViews>
    <sheetView zoomScale="79" workbookViewId="0" zoomToFit="1"/>
  </sheetViews>
  <pageMargins left="0.7" right="0.7" top="0.75" bottom="0.75" header="0.5" footer="0.5"/>
  <pageSetup firstPageNumber="26214" orientation="landscape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published="0" codeName="Chart20"/>
  <sheetViews>
    <sheetView zoomScale="93" workbookViewId="0" zoomToFit="1"/>
  </sheetViews>
  <pageMargins left="0.7" right="0.7" top="0.75" bottom="0.75" header="0.3" footer="0.3"/>
  <pageSetup orientation="landscape" horizontalDpi="300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1188" y="0"/>
    <xdr:ext cx="8482948" cy="6105769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482948" cy="6105769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482948" cy="6105769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6903" y="0"/>
    <xdr:ext cx="8482948" cy="6105769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48228" y="84399"/>
    <xdr:ext cx="8572500" cy="6124936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tabColor theme="4" tint="0.39997558519241921"/>
    <pageSetUpPr fitToPage="1"/>
  </sheetPr>
  <dimension ref="A1:W37"/>
  <sheetViews>
    <sheetView showGridLines="0" tabSelected="1" workbookViewId="0"/>
  </sheetViews>
  <sheetFormatPr defaultRowHeight="12.75"/>
  <cols>
    <col min="1" max="1" width="41.7109375" style="1" customWidth="1"/>
    <col min="2" max="6" width="11.42578125" style="1" customWidth="1"/>
    <col min="7" max="8" width="12.42578125" style="6" customWidth="1"/>
    <col min="9" max="16384" width="9.140625" style="1"/>
  </cols>
  <sheetData>
    <row r="1" spans="1:23" ht="15">
      <c r="A1" s="61" t="s">
        <v>55</v>
      </c>
    </row>
    <row r="2" spans="1:23" ht="15">
      <c r="A2" s="61" t="str">
        <f>'Keyword Search'!A1</f>
        <v>PRODUCT: Contoso Premier</v>
      </c>
    </row>
    <row r="3" spans="1:23" ht="12.75" customHeight="1">
      <c r="A3" s="57" t="s">
        <v>57</v>
      </c>
    </row>
    <row r="4" spans="1:23" ht="12.75" customHeight="1">
      <c r="A4" s="60" t="s">
        <v>56</v>
      </c>
      <c r="B4" s="35"/>
      <c r="C4" s="35"/>
      <c r="D4" s="35"/>
      <c r="E4" s="35"/>
      <c r="F4" s="35"/>
      <c r="G4" s="64"/>
      <c r="H4" s="64"/>
      <c r="I4" s="35"/>
      <c r="J4" s="35"/>
      <c r="K4" s="35"/>
      <c r="L4" s="35"/>
      <c r="M4" s="35"/>
      <c r="N4" s="35"/>
    </row>
    <row r="6" spans="1:23" ht="42" customHeight="1">
      <c r="A6" s="83"/>
      <c r="H6" s="20" t="str">
        <f>A1 &amp; " Confidential"</f>
        <v>Contoso, Ltd Confidential</v>
      </c>
    </row>
    <row r="7" spans="1:23" ht="13.5" customHeight="1">
      <c r="A7" s="119"/>
      <c r="B7" s="120"/>
      <c r="C7" s="120"/>
      <c r="D7" s="120"/>
      <c r="E7" s="120"/>
      <c r="F7" s="120"/>
      <c r="G7" s="121"/>
      <c r="H7" s="122"/>
    </row>
    <row r="8" spans="1:23" ht="28.7" customHeight="1">
      <c r="A8" s="106" t="s">
        <v>54</v>
      </c>
      <c r="G8" s="1"/>
      <c r="H8" s="1"/>
    </row>
    <row r="9" spans="1:23" ht="28.7" customHeight="1" thickBot="1">
      <c r="A9" s="43"/>
      <c r="B9" s="86" t="str">
        <f>'Keyword Search'!A8</f>
        <v>Keyword Search</v>
      </c>
      <c r="C9" s="42" t="str">
        <f>'Direct Mail'!A8</f>
        <v>Direct Mail</v>
      </c>
      <c r="D9" s="5" t="s">
        <v>9</v>
      </c>
      <c r="E9" s="5" t="s">
        <v>10</v>
      </c>
      <c r="F9" s="5" t="s">
        <v>11</v>
      </c>
      <c r="G9" s="5" t="s">
        <v>7</v>
      </c>
      <c r="H9" s="5" t="s">
        <v>8</v>
      </c>
    </row>
    <row r="10" spans="1:23" ht="14.85" customHeight="1" thickTop="1">
      <c r="A10" s="102" t="s">
        <v>25</v>
      </c>
      <c r="B10" s="103"/>
      <c r="C10" s="103"/>
      <c r="D10" s="104"/>
      <c r="E10" s="104"/>
      <c r="F10" s="104"/>
      <c r="G10" s="105"/>
      <c r="H10" s="105"/>
      <c r="O10" s="76" t="s">
        <v>35</v>
      </c>
      <c r="P10" s="71"/>
      <c r="Q10" s="71"/>
      <c r="R10" s="72"/>
      <c r="T10" s="76" t="s">
        <v>41</v>
      </c>
      <c r="U10" s="71"/>
      <c r="V10" s="71"/>
      <c r="W10" s="72"/>
    </row>
    <row r="11" spans="1:23">
      <c r="A11" s="8" t="s">
        <v>24</v>
      </c>
      <c r="B11" s="84">
        <f>'Keyword Search'!$D$11</f>
        <v>50000</v>
      </c>
      <c r="C11" s="66">
        <f>'Direct Mail'!$D$11</f>
        <v>32000</v>
      </c>
      <c r="D11" s="82">
        <v>0</v>
      </c>
      <c r="E11" s="82">
        <v>0</v>
      </c>
      <c r="F11" s="82">
        <v>0</v>
      </c>
      <c r="G11" s="21">
        <f>SUM(B11:F11)</f>
        <v>82000</v>
      </c>
      <c r="H11" s="11">
        <f>IF(NOT(G11 = 0), AVERAGE(B11:F11), 0)</f>
        <v>16400</v>
      </c>
      <c r="O11" s="77"/>
      <c r="P11" s="34"/>
      <c r="Q11" s="34"/>
      <c r="R11" s="73"/>
      <c r="T11" s="77"/>
      <c r="U11" s="34"/>
      <c r="V11" s="34"/>
      <c r="W11" s="73"/>
    </row>
    <row r="12" spans="1:23" ht="13.5" thickBot="1">
      <c r="B12" s="9"/>
      <c r="C12" s="22"/>
      <c r="D12" s="22"/>
      <c r="E12" s="22"/>
      <c r="F12" s="22"/>
      <c r="G12" s="23"/>
      <c r="H12" s="10"/>
      <c r="O12" s="78" t="s">
        <v>51</v>
      </c>
      <c r="P12" s="34"/>
      <c r="Q12" s="34"/>
      <c r="R12" s="73"/>
      <c r="T12" s="78" t="s">
        <v>42</v>
      </c>
      <c r="U12" s="34"/>
      <c r="V12" s="34"/>
      <c r="W12" s="73"/>
    </row>
    <row r="13" spans="1:23" ht="14.85" customHeight="1" thickTop="1">
      <c r="A13" s="102" t="s">
        <v>12</v>
      </c>
      <c r="B13" s="103"/>
      <c r="C13" s="103"/>
      <c r="D13" s="103"/>
      <c r="E13" s="103"/>
      <c r="F13" s="103"/>
      <c r="G13" s="105"/>
      <c r="H13" s="105"/>
      <c r="O13" s="78" t="s">
        <v>36</v>
      </c>
      <c r="P13" s="34"/>
      <c r="Q13" s="34"/>
      <c r="R13" s="73"/>
      <c r="T13" s="78" t="s">
        <v>43</v>
      </c>
      <c r="U13" s="34"/>
      <c r="V13" s="34"/>
      <c r="W13" s="73"/>
    </row>
    <row r="14" spans="1:23">
      <c r="A14" s="8" t="s">
        <v>14</v>
      </c>
      <c r="B14" s="67">
        <f>'Keyword Search'!$D$15</f>
        <v>121000</v>
      </c>
      <c r="C14" s="68">
        <f>'Direct Mail'!$D$15</f>
        <v>26000</v>
      </c>
      <c r="D14" s="24">
        <v>0</v>
      </c>
      <c r="E14" s="24">
        <v>0</v>
      </c>
      <c r="F14" s="24">
        <v>0</v>
      </c>
      <c r="G14" s="48">
        <f>SUM(B14:F14)</f>
        <v>147000</v>
      </c>
      <c r="H14" s="49">
        <f>IF(NOT(G14= 0), AVERAGE(B14:F14), 0)</f>
        <v>29400</v>
      </c>
      <c r="O14" s="78" t="s">
        <v>37</v>
      </c>
      <c r="P14" s="34"/>
      <c r="Q14" s="34"/>
      <c r="R14" s="73"/>
      <c r="T14" s="78" t="s">
        <v>44</v>
      </c>
      <c r="U14" s="34"/>
      <c r="V14" s="34"/>
      <c r="W14" s="73"/>
    </row>
    <row r="15" spans="1:23">
      <c r="A15" s="8" t="s">
        <v>5</v>
      </c>
      <c r="B15" s="67">
        <f>'Keyword Search'!$D$16</f>
        <v>6520</v>
      </c>
      <c r="C15" s="68">
        <f>'Direct Mail'!$D$16</f>
        <v>1220</v>
      </c>
      <c r="D15" s="24">
        <v>0</v>
      </c>
      <c r="E15" s="24">
        <v>0</v>
      </c>
      <c r="F15" s="24">
        <v>0</v>
      </c>
      <c r="G15" s="48">
        <f>SUM(B15:F15)</f>
        <v>7740</v>
      </c>
      <c r="H15" s="49">
        <f>IF(NOT(G15 = 0), AVERAGE(B15:F15), 0)</f>
        <v>1548</v>
      </c>
      <c r="O15" s="78" t="s">
        <v>38</v>
      </c>
      <c r="P15" s="34"/>
      <c r="Q15" s="34"/>
      <c r="R15" s="73"/>
      <c r="T15" s="78" t="s">
        <v>45</v>
      </c>
      <c r="U15" s="34"/>
      <c r="V15" s="34"/>
      <c r="W15" s="73"/>
    </row>
    <row r="16" spans="1:23">
      <c r="A16" s="8" t="s">
        <v>6</v>
      </c>
      <c r="B16" s="67">
        <f>'Keyword Search'!$D$17</f>
        <v>722</v>
      </c>
      <c r="C16" s="68">
        <f>'Direct Mail'!$D$17</f>
        <v>633</v>
      </c>
      <c r="D16" s="24">
        <v>0</v>
      </c>
      <c r="E16" s="24">
        <v>0</v>
      </c>
      <c r="F16" s="24">
        <v>0</v>
      </c>
      <c r="G16" s="48">
        <f>SUM(B16:F16)</f>
        <v>1355</v>
      </c>
      <c r="H16" s="49">
        <f>IF(NOT(G16 = 0), AVERAGE(B16:F16))</f>
        <v>271</v>
      </c>
      <c r="O16" s="78" t="s">
        <v>39</v>
      </c>
      <c r="P16" s="34"/>
      <c r="Q16" s="34"/>
      <c r="R16" s="73"/>
      <c r="T16" s="78" t="s">
        <v>30</v>
      </c>
      <c r="U16" s="34"/>
      <c r="V16" s="34"/>
      <c r="W16" s="73"/>
    </row>
    <row r="17" spans="1:23">
      <c r="A17" s="8"/>
      <c r="B17" s="14"/>
      <c r="C17" s="26"/>
      <c r="D17" s="26"/>
      <c r="E17" s="26"/>
      <c r="F17" s="26"/>
      <c r="G17" s="27"/>
      <c r="H17" s="15"/>
      <c r="O17" s="79" t="s">
        <v>40</v>
      </c>
      <c r="P17" s="74"/>
      <c r="Q17" s="74"/>
      <c r="R17" s="75"/>
      <c r="T17" s="78" t="s">
        <v>46</v>
      </c>
      <c r="U17" s="34"/>
      <c r="V17" s="34"/>
      <c r="W17" s="73"/>
    </row>
    <row r="18" spans="1:23">
      <c r="A18" s="8" t="s">
        <v>15</v>
      </c>
      <c r="B18" s="12">
        <f>'Keyword Search'!$D$19</f>
        <v>36000</v>
      </c>
      <c r="C18" s="50">
        <f>'Direct Mail'!$D$19</f>
        <v>15200</v>
      </c>
      <c r="D18" s="24">
        <v>0</v>
      </c>
      <c r="E18" s="24">
        <v>0</v>
      </c>
      <c r="F18" s="24">
        <v>0</v>
      </c>
      <c r="G18" s="25">
        <f>SUMIF(B18:F18,"&lt;&gt; N/A")</f>
        <v>51200</v>
      </c>
      <c r="H18" s="13">
        <f>IF(NOT(G18 = 0), AVERAGEIF(B18:F18,"&lt;&gt; N/A"))</f>
        <v>10240</v>
      </c>
      <c r="T18" s="78" t="s">
        <v>52</v>
      </c>
      <c r="U18" s="34"/>
      <c r="V18" s="34"/>
      <c r="W18" s="73"/>
    </row>
    <row r="19" spans="1:23" ht="16.5" thickBot="1">
      <c r="A19" s="85"/>
      <c r="B19" s="16"/>
      <c r="C19" s="28"/>
      <c r="D19" s="26"/>
      <c r="E19" s="26"/>
      <c r="F19" s="26"/>
      <c r="G19" s="27"/>
      <c r="H19" s="15"/>
      <c r="T19" s="79" t="s">
        <v>47</v>
      </c>
      <c r="U19" s="80"/>
      <c r="V19" s="80"/>
      <c r="W19" s="75"/>
    </row>
    <row r="20" spans="1:23" ht="14.85" customHeight="1" thickTop="1">
      <c r="A20" s="102" t="s">
        <v>13</v>
      </c>
      <c r="B20" s="107"/>
      <c r="C20" s="107"/>
      <c r="D20" s="108"/>
      <c r="E20" s="108"/>
      <c r="F20" s="108"/>
      <c r="G20" s="109"/>
      <c r="H20" s="109"/>
    </row>
    <row r="21" spans="1:23">
      <c r="A21" s="8" t="s">
        <v>0</v>
      </c>
      <c r="B21" s="51">
        <f>'Keyword Search'!$D$22</f>
        <v>5.3884297520661158E-2</v>
      </c>
      <c r="C21" s="52">
        <f>'Direct Mail'!$D$22</f>
        <v>4.6923076923076922E-2</v>
      </c>
      <c r="D21" s="53"/>
      <c r="E21" s="53"/>
      <c r="F21" s="53"/>
      <c r="G21" s="54">
        <f>IF(NOT(G14 = 0),G15/ G14, 0)</f>
        <v>5.2653061224489796E-2</v>
      </c>
      <c r="H21" s="55">
        <f>IF(NOT(H14 = 0),H15/ H14, 0)</f>
        <v>5.2653061224489796E-2</v>
      </c>
    </row>
    <row r="22" spans="1:23">
      <c r="A22" s="8" t="s">
        <v>1</v>
      </c>
      <c r="B22" s="51">
        <f>'Keyword Search'!$D$23</f>
        <v>5.9669421487603307E-3</v>
      </c>
      <c r="C22" s="52">
        <f>'Direct Mail'!$D$23</f>
        <v>2.4346153846153847E-2</v>
      </c>
      <c r="D22" s="53"/>
      <c r="E22" s="53"/>
      <c r="F22" s="53"/>
      <c r="G22" s="54">
        <f>IF(NOT(G14 = 0),G16/ G14, 0)</f>
        <v>9.2176870748299326E-3</v>
      </c>
      <c r="H22" s="55">
        <f>IF(NOT(H14 = 0),H16/ H14, 0)</f>
        <v>9.2176870748299326E-3</v>
      </c>
    </row>
    <row r="23" spans="1:23">
      <c r="A23" s="8" t="s">
        <v>2</v>
      </c>
      <c r="B23" s="56">
        <f>'Keyword Search'!$D$24</f>
        <v>0.1107361963190184</v>
      </c>
      <c r="C23" s="52">
        <f>'Direct Mail'!$D$24</f>
        <v>0.51885245901639343</v>
      </c>
      <c r="D23" s="53"/>
      <c r="E23" s="53"/>
      <c r="F23" s="53"/>
      <c r="G23" s="54">
        <f>IF(NOT(G15 = 0),G16/G15, 0)</f>
        <v>0.17506459948320413</v>
      </c>
      <c r="H23" s="55">
        <f>IF(NOT(H15 = 0),H16/H15, 0)</f>
        <v>0.17506459948320413</v>
      </c>
    </row>
    <row r="24" spans="1:23">
      <c r="A24" s="8"/>
      <c r="B24" s="17"/>
      <c r="C24" s="31"/>
      <c r="D24" s="31"/>
      <c r="E24" s="31"/>
      <c r="F24" s="31"/>
      <c r="G24" s="32"/>
      <c r="H24" s="18"/>
    </row>
    <row r="25" spans="1:23">
      <c r="A25" s="8" t="s">
        <v>3</v>
      </c>
      <c r="B25" s="62">
        <f>'Keyword Search'!$D$25</f>
        <v>7.6687116564417179</v>
      </c>
      <c r="C25" s="63">
        <f>'Direct Mail'!$D$25</f>
        <v>26.229508196721312</v>
      </c>
      <c r="D25" s="81"/>
      <c r="E25" s="81"/>
      <c r="F25" s="81"/>
      <c r="G25" s="30">
        <f>IF(NOT(G15 = 0),G11 /G15, 0)</f>
        <v>10.594315245478036</v>
      </c>
      <c r="H25" s="19">
        <f>IF(NOT(H15 = 0),H11 /H15, 0)</f>
        <v>10.594315245478036</v>
      </c>
    </row>
    <row r="26" spans="1:23">
      <c r="A26" s="8" t="s">
        <v>4</v>
      </c>
      <c r="B26" s="62">
        <f>'Keyword Search'!$D$26</f>
        <v>69.252077562326875</v>
      </c>
      <c r="C26" s="63">
        <f>'Direct Mail'!$D$26</f>
        <v>50.552922590837284</v>
      </c>
      <c r="D26" s="81"/>
      <c r="E26" s="81"/>
      <c r="F26" s="29"/>
      <c r="G26" s="30">
        <f>IF(NOT(G16 = 0),G11/G16, 0)</f>
        <v>60.516605166051662</v>
      </c>
      <c r="H26" s="19">
        <f>IF(NOT(H16 = 0),H11/H16, 0)</f>
        <v>60.516605166051662</v>
      </c>
    </row>
    <row r="27" spans="1:23" ht="13.5" thickBot="1">
      <c r="A27" s="8" t="s">
        <v>17</v>
      </c>
      <c r="B27" s="62">
        <f>'Keyword Search'!$D$27</f>
        <v>49.86149584487535</v>
      </c>
      <c r="C27" s="63">
        <f>'Direct Mail'!$D$27</f>
        <v>24.01263823064771</v>
      </c>
      <c r="D27" s="81"/>
      <c r="E27" s="81"/>
      <c r="F27" s="81"/>
      <c r="G27" s="110"/>
      <c r="H27" s="111"/>
    </row>
    <row r="28" spans="1:23" ht="13.5" thickTop="1">
      <c r="A28" s="112"/>
      <c r="B28" s="113"/>
      <c r="C28" s="113"/>
      <c r="D28" s="113"/>
      <c r="E28" s="113"/>
      <c r="F28" s="113"/>
      <c r="G28" s="114"/>
      <c r="H28" s="114"/>
    </row>
    <row r="29" spans="1:23">
      <c r="A29" s="65"/>
      <c r="B29" s="65"/>
      <c r="C29" s="65"/>
      <c r="D29" s="65"/>
      <c r="E29" s="65"/>
      <c r="G29" s="7"/>
      <c r="H29" s="7"/>
    </row>
    <row r="30" spans="1:23">
      <c r="B30" s="2"/>
      <c r="C30" s="2"/>
      <c r="D30" s="2"/>
      <c r="E30" s="2"/>
      <c r="F30" s="2"/>
      <c r="G30" s="7"/>
      <c r="H30" s="7"/>
    </row>
    <row r="31" spans="1:23">
      <c r="B31" s="2"/>
      <c r="C31" s="2"/>
      <c r="D31" s="2"/>
      <c r="E31" s="2"/>
      <c r="F31" s="88" t="s">
        <v>26</v>
      </c>
      <c r="G31" s="89"/>
      <c r="H31" s="89"/>
    </row>
    <row r="32" spans="1:23" ht="13.5" thickBot="1">
      <c r="B32" s="2"/>
      <c r="C32" s="2"/>
      <c r="D32" s="2"/>
      <c r="E32" s="2"/>
      <c r="F32" s="90" t="s">
        <v>27</v>
      </c>
      <c r="G32" s="91"/>
      <c r="H32" s="92">
        <v>0.3</v>
      </c>
    </row>
    <row r="33" spans="2:12" ht="14.25" thickTop="1" thickBot="1">
      <c r="B33" s="2"/>
      <c r="C33" s="2"/>
      <c r="D33" s="2"/>
      <c r="E33" s="2"/>
      <c r="F33" s="93" t="s">
        <v>28</v>
      </c>
      <c r="G33" s="94"/>
      <c r="H33" s="95">
        <v>0.1</v>
      </c>
    </row>
    <row r="34" spans="2:12" ht="13.5" thickTop="1">
      <c r="B34" s="2"/>
      <c r="C34" s="2"/>
      <c r="D34" s="2"/>
      <c r="E34" s="2"/>
      <c r="F34" s="90" t="s">
        <v>29</v>
      </c>
      <c r="G34" s="91"/>
      <c r="H34" s="92">
        <v>0.4</v>
      </c>
    </row>
    <row r="37" spans="2:12">
      <c r="B37" s="35"/>
      <c r="C37" s="35"/>
      <c r="D37" s="35"/>
      <c r="E37" s="35"/>
      <c r="F37" s="35"/>
      <c r="G37" s="64"/>
      <c r="H37" s="64"/>
      <c r="I37" s="35"/>
      <c r="J37" s="35"/>
      <c r="K37" s="35"/>
      <c r="L37" s="35"/>
    </row>
  </sheetData>
  <phoneticPr fontId="1" type="noConversion"/>
  <conditionalFormatting sqref="B21:H21">
    <cfRule type="cellIs" dxfId="53" priority="16" operator="lessThan">
      <formula>Target_Response_Rate</formula>
    </cfRule>
    <cfRule type="cellIs" dxfId="52" priority="17" operator="greaterThan">
      <formula>Target_Response_Rate</formula>
    </cfRule>
    <cfRule type="cellIs" dxfId="51" priority="18" operator="equal">
      <formula>Target_Response_Rate</formula>
    </cfRule>
  </conditionalFormatting>
  <conditionalFormatting sqref="B22:H22">
    <cfRule type="cellIs" dxfId="50" priority="13" operator="lessThan">
      <formula>Target_Action_Rate</formula>
    </cfRule>
    <cfRule type="cellIs" dxfId="49" priority="14" operator="equal">
      <formula>Target_Action_Rate</formula>
    </cfRule>
    <cfRule type="cellIs" dxfId="48" priority="15" operator="greaterThan">
      <formula>Target_Action_Rate</formula>
    </cfRule>
  </conditionalFormatting>
  <conditionalFormatting sqref="B23:H23">
    <cfRule type="cellIs" dxfId="47" priority="10" operator="lessThan">
      <formula>Target_Conversion_Rate</formula>
    </cfRule>
    <cfRule type="cellIs" dxfId="46" priority="11" operator="equal">
      <formula>Target_Conversion_Rate</formula>
    </cfRule>
    <cfRule type="cellIs" dxfId="45" priority="12" operator="greaterThan">
      <formula>Target_Conversion_Rate</formula>
    </cfRule>
  </conditionalFormatting>
  <conditionalFormatting sqref="B21:H21">
    <cfRule type="cellIs" dxfId="44" priority="7" operator="lessThan">
      <formula>Target_Response_Rate</formula>
    </cfRule>
    <cfRule type="cellIs" dxfId="43" priority="8" operator="greaterThan">
      <formula>Target_Response_Rate</formula>
    </cfRule>
    <cfRule type="cellIs" dxfId="42" priority="9" operator="equal">
      <formula>Target_Response_Rate</formula>
    </cfRule>
  </conditionalFormatting>
  <conditionalFormatting sqref="B22:H22">
    <cfRule type="cellIs" dxfId="41" priority="4" operator="lessThan">
      <formula>Target_Action_Rate</formula>
    </cfRule>
    <cfRule type="cellIs" dxfId="40" priority="5" operator="equal">
      <formula>Target_Action_Rate</formula>
    </cfRule>
    <cfRule type="cellIs" dxfId="39" priority="6" operator="greaterThan">
      <formula>Target_Action_Rate</formula>
    </cfRule>
  </conditionalFormatting>
  <conditionalFormatting sqref="B23:H23">
    <cfRule type="cellIs" dxfId="38" priority="1" operator="lessThan">
      <formula>Target_Conversion_Rate</formula>
    </cfRule>
    <cfRule type="cellIs" dxfId="37" priority="2" operator="equal">
      <formula>Target_Conversion_Rate</formula>
    </cfRule>
    <cfRule type="cellIs" dxfId="36" priority="3" operator="greaterThan">
      <formula>Target_Conversion_Rate</formula>
    </cfRule>
  </conditionalFormatting>
  <pageMargins left="0.75" right="0.75" top="1" bottom="1" header="0.5" footer="0.5"/>
  <pageSetup scale="94" orientation="landscape" r:id="rId1"/>
  <headerFooter alignWithMargins="0">
    <oddFooter>&amp;L&amp;"-,Regular"&amp;9&amp;K546D80Page &amp;P of &amp;N&amp;C&amp;"-,Regular"&amp;9CONFIDENTIAL | Campaign Analysis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4" tint="0.39997558519241921"/>
  </sheetPr>
  <dimension ref="A1:N36"/>
  <sheetViews>
    <sheetView showGridLines="0" workbookViewId="0"/>
  </sheetViews>
  <sheetFormatPr defaultRowHeight="12.75"/>
  <cols>
    <col min="1" max="1" width="29.85546875" style="1" customWidth="1"/>
    <col min="2" max="2" width="14" style="1" customWidth="1"/>
    <col min="3" max="3" width="27.28515625" style="1" customWidth="1"/>
    <col min="4" max="4" width="11.7109375" style="1" customWidth="1"/>
    <col min="5" max="6" width="9.140625" style="1"/>
    <col min="7" max="7" width="9.140625" style="1" customWidth="1"/>
    <col min="8" max="16384" width="9.140625" style="1"/>
  </cols>
  <sheetData>
    <row r="1" spans="1:14">
      <c r="A1" s="117" t="s">
        <v>53</v>
      </c>
    </row>
    <row r="2" spans="1:14">
      <c r="A2" s="118" t="s">
        <v>58</v>
      </c>
      <c r="B2" s="60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3" spans="1:14">
      <c r="A3" s="57" t="s">
        <v>59</v>
      </c>
      <c r="B3" s="4"/>
    </row>
    <row r="4" spans="1:14">
      <c r="A4" s="57" t="s">
        <v>63</v>
      </c>
      <c r="B4" s="4"/>
    </row>
    <row r="5" spans="1:14">
      <c r="A5" s="60" t="str">
        <f>Summary!A4</f>
        <v>OWNER:  Scott MacDonald</v>
      </c>
      <c r="B5" s="60"/>
      <c r="C5" s="35"/>
      <c r="D5" s="35"/>
      <c r="E5" s="35"/>
    </row>
    <row r="6" spans="1:14" ht="18.75" customHeight="1">
      <c r="A6" s="33"/>
      <c r="B6" s="4"/>
    </row>
    <row r="7" spans="1:14" ht="12" customHeight="1">
      <c r="A7" s="87"/>
      <c r="B7" s="87"/>
      <c r="C7" s="87"/>
      <c r="D7" s="87"/>
    </row>
    <row r="8" spans="1:14" s="41" customFormat="1" ht="22.7" customHeight="1">
      <c r="A8" s="106" t="s">
        <v>49</v>
      </c>
      <c r="B8" s="40"/>
    </row>
    <row r="9" spans="1:14" s="45" customFormat="1" ht="18.75" customHeight="1" thickBot="1">
      <c r="A9" s="46"/>
      <c r="B9" s="44"/>
    </row>
    <row r="10" spans="1:14" ht="13.5" thickTop="1">
      <c r="A10" s="102" t="s">
        <v>31</v>
      </c>
      <c r="B10" s="102"/>
      <c r="C10" s="102"/>
      <c r="D10" s="102"/>
    </row>
    <row r="11" spans="1:14">
      <c r="A11" s="8" t="s">
        <v>16</v>
      </c>
      <c r="B11" s="69"/>
      <c r="D11" s="36">
        <v>50000</v>
      </c>
    </row>
    <row r="12" spans="1:14">
      <c r="A12" s="8"/>
      <c r="B12" s="69"/>
      <c r="D12" s="37"/>
    </row>
    <row r="13" spans="1:14" ht="13.5" thickBot="1">
      <c r="A13" s="8"/>
      <c r="B13" s="69"/>
      <c r="D13" s="37"/>
    </row>
    <row r="14" spans="1:14" ht="13.5" thickTop="1">
      <c r="A14" s="102" t="s">
        <v>32</v>
      </c>
      <c r="B14" s="102"/>
      <c r="C14" s="102" t="s">
        <v>34</v>
      </c>
      <c r="D14" s="102"/>
    </row>
    <row r="15" spans="1:14">
      <c r="A15" s="8" t="s">
        <v>14</v>
      </c>
      <c r="B15" s="69"/>
      <c r="C15" s="3"/>
      <c r="D15" s="47">
        <v>121000</v>
      </c>
    </row>
    <row r="16" spans="1:14">
      <c r="A16" s="8" t="s">
        <v>22</v>
      </c>
      <c r="B16" s="70"/>
      <c r="C16" s="34" t="s">
        <v>51</v>
      </c>
      <c r="D16" s="47">
        <v>6520</v>
      </c>
    </row>
    <row r="17" spans="1:9">
      <c r="A17" s="8" t="s">
        <v>23</v>
      </c>
      <c r="B17" s="70"/>
      <c r="C17" s="34" t="s">
        <v>30</v>
      </c>
      <c r="D17" s="47">
        <v>722</v>
      </c>
    </row>
    <row r="18" spans="1:9">
      <c r="A18" s="8"/>
      <c r="B18" s="69"/>
      <c r="C18" s="3"/>
      <c r="D18" s="37"/>
    </row>
    <row r="19" spans="1:9">
      <c r="A19" s="8" t="s">
        <v>15</v>
      </c>
      <c r="B19" s="70"/>
      <c r="C19" s="3"/>
      <c r="D19" s="59">
        <v>36000</v>
      </c>
      <c r="E19" s="35"/>
      <c r="F19" s="35"/>
      <c r="G19" s="35"/>
      <c r="H19" s="35"/>
      <c r="I19" s="35"/>
    </row>
    <row r="20" spans="1:9" ht="13.5" thickBot="1">
      <c r="A20" s="8"/>
      <c r="B20" s="69"/>
      <c r="C20" s="3"/>
      <c r="D20" s="37"/>
    </row>
    <row r="21" spans="1:9" ht="13.5" thickTop="1">
      <c r="A21" s="102" t="s">
        <v>33</v>
      </c>
      <c r="B21" s="102"/>
      <c r="C21" s="102"/>
      <c r="D21" s="102"/>
    </row>
    <row r="22" spans="1:9">
      <c r="A22" s="8" t="s">
        <v>0</v>
      </c>
      <c r="B22" s="70"/>
      <c r="C22" s="35"/>
      <c r="D22" s="58">
        <f>IF(NOT(D15=0),D16/D15,0)</f>
        <v>5.3884297520661158E-2</v>
      </c>
      <c r="E22" s="35"/>
      <c r="F22" s="35"/>
      <c r="G22" s="35"/>
      <c r="H22" s="35"/>
    </row>
    <row r="23" spans="1:9">
      <c r="A23" s="8" t="s">
        <v>1</v>
      </c>
      <c r="B23" s="70"/>
      <c r="C23" s="35"/>
      <c r="D23" s="58">
        <f>IF(NOT(D15 = 0), D17/D15, 0)</f>
        <v>5.9669421487603307E-3</v>
      </c>
      <c r="E23" s="35"/>
      <c r="F23" s="35"/>
      <c r="G23" s="35"/>
      <c r="H23" s="35"/>
    </row>
    <row r="24" spans="1:9">
      <c r="A24" s="8" t="s">
        <v>2</v>
      </c>
      <c r="B24" s="70"/>
      <c r="C24" s="35"/>
      <c r="D24" s="58">
        <f>IF(NOT(D16 = 0), D17/D16, 0)</f>
        <v>0.1107361963190184</v>
      </c>
      <c r="E24" s="35"/>
      <c r="F24" s="35"/>
      <c r="G24" s="35"/>
      <c r="H24" s="35"/>
    </row>
    <row r="25" spans="1:9">
      <c r="A25" s="8" t="s">
        <v>3</v>
      </c>
      <c r="B25" s="70"/>
      <c r="C25" s="35"/>
      <c r="D25" s="39">
        <f>IF(NOT(D16 = 0), D11/D16, 0)</f>
        <v>7.6687116564417179</v>
      </c>
      <c r="F25" s="1" t="s">
        <v>48</v>
      </c>
    </row>
    <row r="26" spans="1:9">
      <c r="A26" s="8" t="s">
        <v>4</v>
      </c>
      <c r="B26" s="70"/>
      <c r="C26" s="35"/>
      <c r="D26" s="39">
        <f>IF(NOT(D17 = 0), D11/D17, 0)</f>
        <v>69.252077562326875</v>
      </c>
    </row>
    <row r="27" spans="1:9" ht="13.5" thickBot="1">
      <c r="A27" s="8" t="s">
        <v>17</v>
      </c>
      <c r="B27" s="115"/>
      <c r="C27" s="3"/>
      <c r="D27" s="39">
        <f>IF(ISNUMBER(D19), IF(NOT(D19 = 0), IF(NOT(D17 = 0), D19/D17, "N/A"), "N/A"), "N/A")</f>
        <v>49.86149584487535</v>
      </c>
    </row>
    <row r="28" spans="1:9" ht="13.5" thickTop="1">
      <c r="A28" s="116"/>
      <c r="B28" s="116"/>
      <c r="C28" s="116"/>
      <c r="D28" s="116"/>
    </row>
    <row r="31" spans="1:9">
      <c r="B31" s="88" t="s">
        <v>18</v>
      </c>
      <c r="C31" s="88"/>
      <c r="D31" s="88"/>
    </row>
    <row r="32" spans="1:9" ht="13.5" thickBot="1">
      <c r="B32" s="96" t="s">
        <v>19</v>
      </c>
      <c r="C32" s="97">
        <f>D15-D16</f>
        <v>114480</v>
      </c>
      <c r="D32" s="98">
        <f>C32/$D$15</f>
        <v>0.94611570247933885</v>
      </c>
      <c r="E32" s="35"/>
      <c r="F32" s="35"/>
      <c r="G32" s="35"/>
      <c r="H32" s="35"/>
    </row>
    <row r="33" spans="2:10" ht="28.7" customHeight="1" thickTop="1" thickBot="1">
      <c r="B33" s="99" t="s">
        <v>20</v>
      </c>
      <c r="C33" s="100">
        <f>D16-D17</f>
        <v>5798</v>
      </c>
      <c r="D33" s="101">
        <f>C33/$D$15</f>
        <v>4.7917355371900824E-2</v>
      </c>
      <c r="E33" s="35"/>
      <c r="F33" s="35"/>
      <c r="G33" s="35"/>
      <c r="H33" s="35"/>
    </row>
    <row r="34" spans="2:10" ht="13.5" thickTop="1">
      <c r="B34" s="96" t="s">
        <v>21</v>
      </c>
      <c r="C34" s="97">
        <f>D17</f>
        <v>722</v>
      </c>
      <c r="D34" s="98">
        <f>C34/$D$15</f>
        <v>5.9669421487603307E-3</v>
      </c>
      <c r="E34" s="35"/>
      <c r="F34" s="35"/>
      <c r="G34" s="35"/>
      <c r="H34" s="35"/>
    </row>
    <row r="36" spans="2:10">
      <c r="D36" s="35"/>
      <c r="E36" s="35"/>
      <c r="F36" s="35"/>
      <c r="G36" s="35"/>
      <c r="H36" s="35"/>
      <c r="I36" s="35"/>
      <c r="J36" s="35"/>
    </row>
  </sheetData>
  <phoneticPr fontId="1" type="noConversion"/>
  <conditionalFormatting sqref="D22">
    <cfRule type="cellIs" dxfId="35" priority="17" operator="lessThan">
      <formula>Target_Response_Rate</formula>
    </cfRule>
    <cfRule type="cellIs" dxfId="34" priority="18" operator="equal">
      <formula>Target_Response_Rate</formula>
    </cfRule>
    <cfRule type="cellIs" dxfId="33" priority="19" operator="greaterThan">
      <formula>Target_Response_Rate</formula>
    </cfRule>
  </conditionalFormatting>
  <conditionalFormatting sqref="D23">
    <cfRule type="cellIs" dxfId="32" priority="14" operator="lessThan">
      <formula>Target_Action_Rate</formula>
    </cfRule>
    <cfRule type="cellIs" dxfId="31" priority="15" operator="equal">
      <formula>Target_Action_Rate</formula>
    </cfRule>
    <cfRule type="cellIs" dxfId="30" priority="16" operator="greaterThan">
      <formula>Target_Action_Rate</formula>
    </cfRule>
  </conditionalFormatting>
  <conditionalFormatting sqref="D24">
    <cfRule type="cellIs" dxfId="29" priority="10" operator="lessThan">
      <formula>Target_Conversion_Rate</formula>
    </cfRule>
    <cfRule type="cellIs" dxfId="28" priority="11" operator="equal">
      <formula>Target_Conversion_Rate</formula>
    </cfRule>
    <cfRule type="cellIs" dxfId="27" priority="13" operator="greaterThan">
      <formula>Target_Conversion_Rate</formula>
    </cfRule>
  </conditionalFormatting>
  <conditionalFormatting sqref="D22">
    <cfRule type="cellIs" dxfId="26" priority="7" operator="lessThan">
      <formula>Target_Response_Rate</formula>
    </cfRule>
    <cfRule type="cellIs" dxfId="25" priority="8" operator="equal">
      <formula>Target_Response_Rate</formula>
    </cfRule>
    <cfRule type="cellIs" dxfId="24" priority="9" operator="greaterThan">
      <formula>Target_Response_Rate</formula>
    </cfRule>
  </conditionalFormatting>
  <conditionalFormatting sqref="D23">
    <cfRule type="cellIs" dxfId="23" priority="4" operator="lessThan">
      <formula>Target_Action_Rate</formula>
    </cfRule>
    <cfRule type="cellIs" dxfId="22" priority="5" operator="equal">
      <formula>Target_Action_Rate</formula>
    </cfRule>
    <cfRule type="cellIs" dxfId="21" priority="6" operator="greaterThan">
      <formula>Target_Action_Rate</formula>
    </cfRule>
  </conditionalFormatting>
  <conditionalFormatting sqref="D24">
    <cfRule type="cellIs" dxfId="20" priority="1" operator="lessThan">
      <formula>Target_Conversion_Rate</formula>
    </cfRule>
    <cfRule type="cellIs" dxfId="19" priority="2" operator="equal">
      <formula>Target_Conversion_Rate</formula>
    </cfRule>
    <cfRule type="cellIs" dxfId="18" priority="3" operator="greaterThan">
      <formula>Target_Conversion_Rate</formula>
    </cfRule>
  </conditionalFormatting>
  <dataValidations count="2">
    <dataValidation type="list" showInputMessage="1" showErrorMessage="1" sqref="C16">
      <formula1>ResponseTypes</formula1>
    </dataValidation>
    <dataValidation type="list" showInputMessage="1" showErrorMessage="1" sqref="C17">
      <formula1>ActionTypes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2" tint="-0.249977111117893"/>
  </sheetPr>
  <dimension ref="A1:J34"/>
  <sheetViews>
    <sheetView showGridLines="0" workbookViewId="0"/>
  </sheetViews>
  <sheetFormatPr defaultRowHeight="12.75"/>
  <cols>
    <col min="1" max="1" width="35" style="1" customWidth="1"/>
    <col min="2" max="2" width="17" style="1" customWidth="1"/>
    <col min="3" max="3" width="27.28515625" style="1" customWidth="1"/>
    <col min="4" max="4" width="11.7109375" style="1" customWidth="1"/>
    <col min="5" max="16384" width="9.140625" style="1"/>
  </cols>
  <sheetData>
    <row r="1" spans="1:10">
      <c r="A1" s="117" t="str">
        <f>'Keyword Search'!A1</f>
        <v>PRODUCT: Contoso Premier</v>
      </c>
    </row>
    <row r="2" spans="1:10">
      <c r="A2" s="118" t="s">
        <v>60</v>
      </c>
      <c r="B2" s="4"/>
    </row>
    <row r="3" spans="1:10">
      <c r="A3" s="57" t="s">
        <v>61</v>
      </c>
      <c r="B3" s="4"/>
    </row>
    <row r="4" spans="1:10">
      <c r="A4" s="57" t="s">
        <v>62</v>
      </c>
      <c r="B4" s="4"/>
    </row>
    <row r="5" spans="1:10">
      <c r="A5" s="57" t="str">
        <f>Summary!A4</f>
        <v>OWNER:  Scott MacDonald</v>
      </c>
      <c r="B5" s="4"/>
    </row>
    <row r="6" spans="1:10" ht="18.75">
      <c r="A6" s="33"/>
      <c r="B6" s="4"/>
    </row>
    <row r="7" spans="1:10" ht="12" customHeight="1">
      <c r="A7" s="119"/>
      <c r="B7" s="120"/>
      <c r="C7" s="120"/>
      <c r="D7" s="120"/>
    </row>
    <row r="8" spans="1:10" ht="22.7" customHeight="1">
      <c r="A8" s="106" t="s">
        <v>50</v>
      </c>
      <c r="B8" s="40"/>
      <c r="C8" s="41"/>
      <c r="D8" s="41"/>
    </row>
    <row r="9" spans="1:10" s="45" customFormat="1" ht="18.75" customHeight="1" thickBot="1">
      <c r="A9" s="46"/>
      <c r="B9" s="44"/>
    </row>
    <row r="10" spans="1:10" ht="13.5" thickTop="1">
      <c r="A10" s="102" t="s">
        <v>31</v>
      </c>
      <c r="B10" s="102"/>
      <c r="C10" s="102"/>
      <c r="D10" s="102"/>
    </row>
    <row r="11" spans="1:10">
      <c r="A11" s="8" t="s">
        <v>16</v>
      </c>
      <c r="B11" s="8"/>
      <c r="C11" s="34"/>
      <c r="D11" s="36">
        <v>32000</v>
      </c>
      <c r="E11" s="35"/>
      <c r="F11" s="35"/>
      <c r="G11" s="35"/>
      <c r="H11" s="35"/>
      <c r="I11" s="35"/>
      <c r="J11" s="35"/>
    </row>
    <row r="12" spans="1:10">
      <c r="A12" s="35"/>
      <c r="B12" s="35"/>
      <c r="D12" s="37"/>
      <c r="E12" s="35"/>
      <c r="F12" s="35"/>
      <c r="G12" s="35"/>
      <c r="H12" s="35"/>
      <c r="I12" s="35"/>
      <c r="J12" s="35"/>
    </row>
    <row r="13" spans="1:10" ht="13.5" thickBot="1">
      <c r="D13" s="37"/>
    </row>
    <row r="14" spans="1:10" ht="13.5" thickTop="1">
      <c r="A14" s="102" t="s">
        <v>32</v>
      </c>
      <c r="B14" s="102"/>
      <c r="C14" s="102" t="s">
        <v>34</v>
      </c>
      <c r="D14" s="102"/>
    </row>
    <row r="15" spans="1:10">
      <c r="A15" s="8" t="s">
        <v>14</v>
      </c>
      <c r="B15" s="8"/>
      <c r="C15" s="3"/>
      <c r="D15" s="47">
        <v>26000</v>
      </c>
    </row>
    <row r="16" spans="1:10">
      <c r="A16" s="8" t="s">
        <v>5</v>
      </c>
      <c r="B16" s="8"/>
      <c r="C16" s="34" t="s">
        <v>51</v>
      </c>
      <c r="D16" s="47">
        <v>1220</v>
      </c>
    </row>
    <row r="17" spans="1:8">
      <c r="A17" s="8" t="s">
        <v>6</v>
      </c>
      <c r="B17" s="8"/>
      <c r="C17" s="34" t="s">
        <v>30</v>
      </c>
      <c r="D17" s="47">
        <v>633</v>
      </c>
    </row>
    <row r="18" spans="1:8">
      <c r="A18" s="8"/>
      <c r="B18" s="8"/>
      <c r="C18" s="3"/>
      <c r="D18" s="37"/>
    </row>
    <row r="19" spans="1:8">
      <c r="A19" s="8" t="s">
        <v>15</v>
      </c>
      <c r="B19" s="8"/>
      <c r="C19" s="3"/>
      <c r="D19" s="36">
        <v>15200</v>
      </c>
    </row>
    <row r="20" spans="1:8" ht="13.5" thickBot="1">
      <c r="A20" s="8"/>
      <c r="B20" s="8"/>
      <c r="C20" s="3"/>
      <c r="D20" s="37"/>
    </row>
    <row r="21" spans="1:8" ht="13.5" thickTop="1">
      <c r="A21" s="102" t="s">
        <v>33</v>
      </c>
      <c r="B21" s="102"/>
      <c r="C21" s="102"/>
      <c r="D21" s="102"/>
    </row>
    <row r="22" spans="1:8">
      <c r="A22" s="8" t="s">
        <v>0</v>
      </c>
      <c r="B22" s="8"/>
      <c r="C22" s="35"/>
      <c r="D22" s="58">
        <f>IF(NOT(D15=0),D16/D15,0)</f>
        <v>4.6923076923076922E-2</v>
      </c>
    </row>
    <row r="23" spans="1:8">
      <c r="A23" s="8" t="s">
        <v>1</v>
      </c>
      <c r="B23" s="8"/>
      <c r="C23" s="35"/>
      <c r="D23" s="58">
        <f>IF(NOT(D15 = 0), D17/D15, 0)</f>
        <v>2.4346153846153847E-2</v>
      </c>
    </row>
    <row r="24" spans="1:8">
      <c r="A24" s="8" t="s">
        <v>2</v>
      </c>
      <c r="B24" s="8"/>
      <c r="C24" s="35"/>
      <c r="D24" s="58">
        <f>IF(NOT(D16 = 0), D17/D16, 0)</f>
        <v>0.51885245901639343</v>
      </c>
    </row>
    <row r="25" spans="1:8">
      <c r="A25" s="8" t="s">
        <v>3</v>
      </c>
      <c r="B25" s="8"/>
      <c r="C25" s="35"/>
      <c r="D25" s="38">
        <f>IF(NOT(D16 = 0), D11/D16, 0)</f>
        <v>26.229508196721312</v>
      </c>
    </row>
    <row r="26" spans="1:8">
      <c r="A26" s="8" t="s">
        <v>4</v>
      </c>
      <c r="B26" s="8"/>
      <c r="C26" s="35"/>
      <c r="D26" s="38">
        <f>IF(NOT(D17 = 0), D11/D17, 0)</f>
        <v>50.552922590837284</v>
      </c>
    </row>
    <row r="27" spans="1:8">
      <c r="A27" s="8" t="s">
        <v>17</v>
      </c>
      <c r="B27" s="8"/>
      <c r="C27" s="35"/>
      <c r="D27" s="38">
        <f>IF(ISNUMBER(D19), IF(NOT(D19 = 0), IF(NOT(D17 = 0), D19/D17, "N/A"), "N/A"), "N/A")</f>
        <v>24.01263823064771</v>
      </c>
    </row>
    <row r="31" spans="1:8">
      <c r="B31" s="88" t="s">
        <v>18</v>
      </c>
      <c r="C31" s="88"/>
      <c r="D31" s="88"/>
      <c r="E31" s="35"/>
      <c r="F31" s="35"/>
      <c r="G31" s="35"/>
      <c r="H31" s="35"/>
    </row>
    <row r="32" spans="1:8" ht="13.5" thickBot="1">
      <c r="B32" s="96" t="s">
        <v>19</v>
      </c>
      <c r="C32" s="97">
        <f>D15-D16</f>
        <v>24780</v>
      </c>
      <c r="D32" s="92">
        <f>C32/$D$15</f>
        <v>0.95307692307692304</v>
      </c>
    </row>
    <row r="33" spans="2:4" ht="28.7" customHeight="1" thickTop="1" thickBot="1">
      <c r="B33" s="99" t="s">
        <v>20</v>
      </c>
      <c r="C33" s="100">
        <f>D16-D17</f>
        <v>587</v>
      </c>
      <c r="D33" s="95">
        <f>C33/$D$15</f>
        <v>2.2576923076923078E-2</v>
      </c>
    </row>
    <row r="34" spans="2:4" ht="13.5" thickTop="1">
      <c r="B34" s="96" t="s">
        <v>21</v>
      </c>
      <c r="C34" s="97">
        <f>D17</f>
        <v>633</v>
      </c>
      <c r="D34" s="92">
        <f>C34/$D$15</f>
        <v>2.4346153846153847E-2</v>
      </c>
    </row>
  </sheetData>
  <phoneticPr fontId="1" type="noConversion"/>
  <conditionalFormatting sqref="D24">
    <cfRule type="cellIs" dxfId="17" priority="16" operator="equal">
      <formula>Target_Conversion_Rate</formula>
    </cfRule>
    <cfRule type="cellIs" dxfId="16" priority="17" operator="lessThan">
      <formula>Target_Conversion_Rate</formula>
    </cfRule>
    <cfRule type="cellIs" dxfId="15" priority="18" operator="greaterThan">
      <formula>Target_Conversion_Rate</formula>
    </cfRule>
  </conditionalFormatting>
  <conditionalFormatting sqref="D23">
    <cfRule type="cellIs" dxfId="14" priority="13" operator="equal">
      <formula>Target_Action_Rate</formula>
    </cfRule>
    <cfRule type="cellIs" dxfId="13" priority="14" operator="lessThan">
      <formula>Target_Action_Rate</formula>
    </cfRule>
    <cfRule type="cellIs" dxfId="12" priority="15" operator="greaterThan">
      <formula>Target_Action_Rate</formula>
    </cfRule>
  </conditionalFormatting>
  <conditionalFormatting sqref="D22">
    <cfRule type="cellIs" dxfId="11" priority="10" operator="equal">
      <formula>Target_Response_Rate</formula>
    </cfRule>
    <cfRule type="cellIs" dxfId="10" priority="11" operator="lessThan">
      <formula>Target_Response_Rate</formula>
    </cfRule>
    <cfRule type="cellIs" dxfId="9" priority="12" operator="greaterThan">
      <formula>Target_Response_Rate</formula>
    </cfRule>
  </conditionalFormatting>
  <conditionalFormatting sqref="D24">
    <cfRule type="cellIs" dxfId="8" priority="7" operator="equal">
      <formula>Target_Conversion_Rate</formula>
    </cfRule>
    <cfRule type="cellIs" dxfId="7" priority="8" operator="lessThan">
      <formula>Target_Conversion_Rate</formula>
    </cfRule>
    <cfRule type="cellIs" dxfId="6" priority="9" operator="greaterThan">
      <formula>Target_Conversion_Rate</formula>
    </cfRule>
  </conditionalFormatting>
  <conditionalFormatting sqref="D23">
    <cfRule type="cellIs" dxfId="5" priority="4" operator="equal">
      <formula>Target_Action_Rate</formula>
    </cfRule>
    <cfRule type="cellIs" dxfId="4" priority="5" operator="lessThan">
      <formula>Target_Action_Rate</formula>
    </cfRule>
    <cfRule type="cellIs" dxfId="3" priority="6" operator="greaterThan">
      <formula>Target_Action_Rate</formula>
    </cfRule>
  </conditionalFormatting>
  <conditionalFormatting sqref="D22">
    <cfRule type="cellIs" dxfId="2" priority="1" operator="equal">
      <formula>Target_Response_Rate</formula>
    </cfRule>
    <cfRule type="cellIs" dxfId="1" priority="2" operator="lessThan">
      <formula>Target_Response_Rate</formula>
    </cfRule>
    <cfRule type="cellIs" dxfId="0" priority="3" operator="greaterThan">
      <formula>Target_Response_Rate</formula>
    </cfRule>
  </conditionalFormatting>
  <dataValidations count="2">
    <dataValidation type="list" showInputMessage="1" showErrorMessage="1" sqref="C16">
      <formula1>ResponseTypes</formula1>
    </dataValidation>
    <dataValidation type="list" showInputMessage="1" showErrorMessage="1" sqref="C17">
      <formula1>ActionTypes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Summary</vt:lpstr>
      <vt:lpstr>Keyword Search</vt:lpstr>
      <vt:lpstr>Direct Mail</vt:lpstr>
      <vt:lpstr>Summary Chart</vt:lpstr>
      <vt:lpstr>Summary Action Rates</vt:lpstr>
      <vt:lpstr>Summary Conversion Rates</vt:lpstr>
      <vt:lpstr>Keyword Search Chart</vt:lpstr>
      <vt:lpstr>Direct Mail Chart</vt:lpstr>
      <vt:lpstr>ActionTypes</vt:lpstr>
      <vt:lpstr>Campaign_Names</vt:lpstr>
      <vt:lpstr>'Keyword Search'!Exposures</vt:lpstr>
      <vt:lpstr>'Direct Mail'!Print_Area</vt:lpstr>
      <vt:lpstr>'Keyword Search'!Print_Area</vt:lpstr>
      <vt:lpstr>Summary!Print_Area</vt:lpstr>
      <vt:lpstr>ResponseTypes</vt:lpstr>
      <vt:lpstr>Sales_By_Campaign</vt:lpstr>
      <vt:lpstr>Target_Action_Rate</vt:lpstr>
      <vt:lpstr>Target_Conversion_Rate</vt:lpstr>
      <vt:lpstr>Target_Response_Rate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2006-11-11T00:00:38Z</dcterms:created>
  <dcterms:modified xsi:type="dcterms:W3CDTF">2006-11-13T21:34:45Z</dcterms:modified>
</cp:coreProperties>
</file>
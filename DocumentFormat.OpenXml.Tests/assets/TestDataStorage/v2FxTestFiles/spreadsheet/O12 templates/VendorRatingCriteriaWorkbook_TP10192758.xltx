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660" yWindow="285" windowWidth="15480" windowHeight="10305" tabRatio="661"/>
  </bookViews>
  <sheets>
    <sheet name="Vendor Rating Criteria Workbook" sheetId="1" r:id="rId1"/>
  </sheets>
  <definedNames>
    <definedName name="Major_Category_Weight">'Vendor Rating Criteria Workbook'!$C$11,'Vendor Rating Criteria Workbook'!$C$20,'Vendor Rating Criteria Workbook'!$C$27,'Vendor Rating Criteria Workbook'!$C$41,'Vendor Rating Criteria Workbook'!$C$50,'Vendor Rating Criteria Workbook'!$C$58</definedName>
  </definedNames>
  <calcPr calcId="124519"/>
  <webPublishing codePage="1252"/>
</workbook>
</file>

<file path=xl/calcChain.xml><?xml version="1.0" encoding="utf-8"?>
<calcChain xmlns="http://schemas.openxmlformats.org/spreadsheetml/2006/main">
  <c r="D64" i="1"/>
  <c r="D49"/>
  <c r="C65"/>
  <c r="D57"/>
  <c r="D40"/>
  <c r="D26"/>
  <c r="D19"/>
</calcChain>
</file>

<file path=xl/sharedStrings.xml><?xml version="1.0" encoding="utf-8"?>
<sst xmlns="http://schemas.openxmlformats.org/spreadsheetml/2006/main" count="100" uniqueCount="65">
  <si>
    <t>Defective parts per million</t>
  </si>
  <si>
    <t>Mean time between failure</t>
  </si>
  <si>
    <t>Mean time to repair</t>
  </si>
  <si>
    <t>Number of units rejected</t>
  </si>
  <si>
    <t>Number of units accepted</t>
  </si>
  <si>
    <t>Number of units returned</t>
  </si>
  <si>
    <t>Average number of days early or late</t>
  </si>
  <si>
    <t>Percentage of on-time shipments</t>
  </si>
  <si>
    <t>Number of early or late shipments</t>
  </si>
  <si>
    <t>Percentage of shipments with correct quantity</t>
  </si>
  <si>
    <t>Pre-transaction: Vendor identification</t>
  </si>
  <si>
    <t>Pre-transaction: Vendor qualification</t>
  </si>
  <si>
    <t>Pre-transaction: Vendor contract</t>
  </si>
  <si>
    <t>Transaction: Price</t>
  </si>
  <si>
    <t>Transaction: Shipping fees</t>
  </si>
  <si>
    <t>Post-transaction: Defective goods</t>
  </si>
  <si>
    <t>Transaction: Inspection fees</t>
  </si>
  <si>
    <t>Transaction: Ordering</t>
  </si>
  <si>
    <t>Post-transaction: Repairs</t>
  </si>
  <si>
    <t>Post-transaction: Disposals</t>
  </si>
  <si>
    <t>Post-transaction: Customer goodwill</t>
  </si>
  <si>
    <t>Sub-Category</t>
  </si>
  <si>
    <t>Sub-Category Weight</t>
  </si>
  <si>
    <t>Data Source</t>
  </si>
  <si>
    <t>Innovation</t>
  </si>
  <si>
    <t>Sub-Category Total</t>
  </si>
  <si>
    <t xml:space="preserve"> </t>
  </si>
  <si>
    <t>QUALITY</t>
  </si>
  <si>
    <t>DELIVERY</t>
  </si>
  <si>
    <t>TOTAL COST</t>
  </si>
  <si>
    <t>SERVICE</t>
  </si>
  <si>
    <t>OTHER</t>
  </si>
  <si>
    <t>ORGANIZATIONAL
HEALTH</t>
  </si>
  <si>
    <t>TOTAL</t>
  </si>
  <si>
    <t>Customer Survey</t>
  </si>
  <si>
    <t>ERP Operations</t>
  </si>
  <si>
    <t>ERP Logistics</t>
  </si>
  <si>
    <t>ERP Financials</t>
  </si>
  <si>
    <t>CRM</t>
  </si>
  <si>
    <t>Financial Agency</t>
  </si>
  <si>
    <t>ERP SCM</t>
  </si>
  <si>
    <t>Supplier</t>
  </si>
  <si>
    <t>Internal Survey</t>
  </si>
  <si>
    <t>[Company Name]</t>
  </si>
  <si>
    <t>Invoicing accuracy against Purchase orders</t>
  </si>
  <si>
    <t>Purchase price variance</t>
  </si>
  <si>
    <t>Quality of customer service</t>
  </si>
  <si>
    <t>Responsiveness to change</t>
  </si>
  <si>
    <t>Responsiveness to issues</t>
  </si>
  <si>
    <t>Timely issue notification</t>
  </si>
  <si>
    <t>Credit score</t>
  </si>
  <si>
    <t>D&amp;B rating</t>
  </si>
  <si>
    <t>Current ratio</t>
  </si>
  <si>
    <t>Financial stress score and percentile</t>
  </si>
  <si>
    <t>Debt-to-Equity ratio</t>
  </si>
  <si>
    <t>Supplier diversity</t>
  </si>
  <si>
    <t>Supply chain management</t>
  </si>
  <si>
    <t>Investment in relationship</t>
  </si>
  <si>
    <t>Category</t>
  </si>
  <si>
    <t>Category Weight</t>
  </si>
  <si>
    <t>Vendor Rating Criteria Workbook</t>
  </si>
  <si>
    <t>PERIOD BEGINNING: [Date]</t>
  </si>
  <si>
    <t>PERIOD ENDING: [Date]</t>
  </si>
  <si>
    <t>DATE PREPARED: [Date]</t>
  </si>
  <si>
    <t>PREPARED BY: [Name]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</si>
</sst>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8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rgb="FFE0E9F9"/>
        <bgColor rgb="FFE0E9F4"/>
      </patternFill>
    </fill>
    <fill>
      <patternFill patternType="solid">
        <fgColor theme="0" tint="-0.14996795556505021"/>
        <bgColor indexed="65"/>
      </patternFill>
    </fill>
    <fill>
      <gradientFill degree="90">
        <stop position="0">
          <color theme="4" tint="0.59999389629810485"/>
        </stop>
        <stop position="1">
          <color rgb="FFFFFFFF"/>
        </stop>
      </gradientFill>
    </fill>
    <fill>
      <patternFill patternType="solid">
        <fgColor theme="4" tint="0.79998168889431442"/>
        <bgColor rgb="FFE0E9F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rgb="FF406F96"/>
      </top>
      <bottom style="thin">
        <color rgb="FF406F96"/>
      </bottom>
      <diagonal/>
    </border>
    <border>
      <left/>
      <right/>
      <top style="thin">
        <color rgb="FF546D80"/>
      </top>
      <bottom style="thick">
        <color rgb="FFAED4B4"/>
      </bottom>
      <diagonal/>
    </border>
    <border>
      <left/>
      <right/>
      <top style="thin">
        <color rgb="FF406F96"/>
      </top>
      <bottom/>
      <diagonal/>
    </border>
    <border>
      <left/>
      <right/>
      <top style="thick">
        <color rgb="FFAED4B4"/>
      </top>
      <bottom/>
      <diagonal/>
    </border>
    <border>
      <left style="thin">
        <color rgb="FFE0E9F4"/>
      </left>
      <right style="thin">
        <color rgb="FFE0E9F4"/>
      </right>
      <top style="medium">
        <color theme="5"/>
      </top>
      <bottom/>
      <diagonal/>
    </border>
    <border>
      <left style="thick">
        <color rgb="FFE0E9F4"/>
      </left>
      <right style="thick">
        <color rgb="FFE0E9F4"/>
      </right>
      <top style="medium">
        <color theme="5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3" borderId="0" applyNumberFormat="0" applyBorder="0" applyAlignment="0" applyProtection="0"/>
    <xf numFmtId="9" fontId="1" fillId="0" borderId="0" applyFont="0" applyFill="0" applyBorder="0" applyAlignment="0" applyProtection="0"/>
    <xf numFmtId="49" fontId="6" fillId="0" borderId="2">
      <alignment wrapText="1"/>
    </xf>
    <xf numFmtId="49" fontId="8" fillId="0" borderId="3">
      <alignment wrapText="1"/>
    </xf>
    <xf numFmtId="0" fontId="9" fillId="4" borderId="5"/>
  </cellStyleXfs>
  <cellXfs count="49">
    <xf numFmtId="0" fontId="0" fillId="0" borderId="0" xfId="0"/>
    <xf numFmtId="0" fontId="2" fillId="0" borderId="0" xfId="0" applyFont="1" applyAlignment="1"/>
    <xf numFmtId="0" fontId="2" fillId="0" borderId="0" xfId="0" applyFont="1"/>
    <xf numFmtId="49" fontId="5" fillId="0" borderId="0" xfId="4" applyFont="1" applyBorder="1" applyAlignment="1">
      <alignment wrapText="1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0" fillId="0" borderId="0" xfId="0"/>
    <xf numFmtId="0" fontId="10" fillId="0" borderId="0" xfId="0" applyFont="1" applyFill="1" applyBorder="1"/>
    <xf numFmtId="0" fontId="0" fillId="0" borderId="0" xfId="0" applyFill="1"/>
    <xf numFmtId="0" fontId="2" fillId="0" borderId="0" xfId="0" applyFont="1" applyFill="1" applyBorder="1"/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/>
    <xf numFmtId="0" fontId="3" fillId="0" borderId="0" xfId="0" applyFont="1" applyFill="1" applyBorder="1"/>
    <xf numFmtId="0" fontId="2" fillId="0" borderId="1" xfId="1" applyFont="1" applyFill="1" applyBorder="1"/>
    <xf numFmtId="0" fontId="11" fillId="0" borderId="0" xfId="0" applyFont="1" applyFill="1" applyBorder="1" applyAlignment="1">
      <alignment horizontal="right" wrapText="1"/>
    </xf>
    <xf numFmtId="0" fontId="11" fillId="0" borderId="0" xfId="2" applyFont="1" applyFill="1" applyBorder="1"/>
    <xf numFmtId="0" fontId="11" fillId="0" borderId="0" xfId="0" applyNumberFormat="1" applyFont="1" applyFill="1" applyBorder="1" applyAlignment="1">
      <alignment wrapText="1"/>
    </xf>
    <xf numFmtId="0" fontId="11" fillId="0" borderId="0" xfId="0" applyNumberFormat="1" applyFont="1" applyFill="1" applyBorder="1" applyAlignment="1">
      <alignment horizontal="right" wrapText="1" indent="1"/>
    </xf>
    <xf numFmtId="0" fontId="14" fillId="0" borderId="0" xfId="2" applyFont="1" applyFill="1" applyBorder="1"/>
    <xf numFmtId="0" fontId="11" fillId="0" borderId="0" xfId="0" applyFont="1" applyFill="1" applyBorder="1" applyAlignment="1">
      <alignment horizontal="right" wrapText="1" indent="1"/>
    </xf>
    <xf numFmtId="0" fontId="11" fillId="0" borderId="0" xfId="0" applyFont="1" applyAlignment="1"/>
    <xf numFmtId="0" fontId="11" fillId="0" borderId="0" xfId="0" applyFont="1" applyFill="1"/>
    <xf numFmtId="0" fontId="11" fillId="0" borderId="0" xfId="1" applyFont="1" applyFill="1" applyBorder="1"/>
    <xf numFmtId="0" fontId="11" fillId="0" borderId="0" xfId="0" applyFont="1" applyFill="1" applyBorder="1" applyAlignment="1">
      <alignment horizontal="center"/>
    </xf>
    <xf numFmtId="0" fontId="14" fillId="0" borderId="0" xfId="2" applyFont="1" applyFill="1" applyBorder="1" applyAlignment="1">
      <alignment horizontal="center"/>
    </xf>
    <xf numFmtId="0" fontId="13" fillId="0" borderId="1" xfId="2" applyFont="1" applyFill="1" applyBorder="1" applyAlignment="1">
      <alignment horizontal="center"/>
    </xf>
    <xf numFmtId="0" fontId="13" fillId="0" borderId="0" xfId="2" applyFont="1" applyFill="1" applyBorder="1" applyAlignment="1">
      <alignment horizontal="center"/>
    </xf>
    <xf numFmtId="9" fontId="11" fillId="0" borderId="0" xfId="0" applyNumberFormat="1" applyFont="1" applyFill="1" applyBorder="1" applyAlignment="1">
      <alignment horizontal="center"/>
    </xf>
    <xf numFmtId="9" fontId="11" fillId="0" borderId="0" xfId="3" applyFont="1" applyFill="1" applyBorder="1" applyAlignment="1">
      <alignment horizontal="center"/>
    </xf>
    <xf numFmtId="9" fontId="14" fillId="0" borderId="0" xfId="2" applyNumberFormat="1" applyFont="1" applyFill="1" applyBorder="1" applyAlignment="1">
      <alignment horizontal="center"/>
    </xf>
    <xf numFmtId="9" fontId="10" fillId="0" borderId="0" xfId="3" applyFont="1" applyFill="1" applyBorder="1" applyAlignment="1">
      <alignment horizontal="center"/>
    </xf>
    <xf numFmtId="0" fontId="15" fillId="5" borderId="0" xfId="0" applyFont="1" applyFill="1" applyBorder="1"/>
    <xf numFmtId="0" fontId="16" fillId="5" borderId="0" xfId="0" applyNumberFormat="1" applyFont="1" applyFill="1" applyBorder="1" applyAlignment="1">
      <alignment wrapText="1"/>
    </xf>
    <xf numFmtId="9" fontId="16" fillId="5" borderId="0" xfId="0" applyNumberFormat="1" applyFont="1" applyFill="1" applyBorder="1" applyAlignment="1">
      <alignment horizontal="center"/>
    </xf>
    <xf numFmtId="0" fontId="16" fillId="5" borderId="0" xfId="0" applyFont="1" applyFill="1" applyBorder="1"/>
    <xf numFmtId="49" fontId="17" fillId="0" borderId="0" xfId="4" applyFont="1" applyBorder="1" applyAlignment="1"/>
    <xf numFmtId="0" fontId="10" fillId="6" borderId="4" xfId="0" applyFont="1" applyFill="1" applyBorder="1"/>
    <xf numFmtId="0" fontId="11" fillId="0" borderId="0" xfId="2" applyFont="1" applyFill="1" applyBorder="1" applyAlignment="1">
      <alignment horizontal="center"/>
    </xf>
    <xf numFmtId="0" fontId="9" fillId="7" borderId="6" xfId="6" applyFont="1" applyFill="1" applyBorder="1"/>
    <xf numFmtId="9" fontId="9" fillId="7" borderId="6" xfId="3" applyFont="1" applyFill="1" applyBorder="1" applyAlignment="1">
      <alignment horizontal="center"/>
    </xf>
    <xf numFmtId="0" fontId="9" fillId="7" borderId="6" xfId="6" applyFont="1" applyFill="1" applyBorder="1" applyAlignment="1">
      <alignment horizontal="center"/>
    </xf>
    <xf numFmtId="0" fontId="9" fillId="7" borderId="6" xfId="6" applyFont="1" applyFill="1" applyBorder="1" applyAlignment="1">
      <alignment wrapText="1"/>
    </xf>
    <xf numFmtId="49" fontId="8" fillId="8" borderId="0" xfId="5" applyFont="1" applyFill="1" applyBorder="1">
      <alignment wrapText="1"/>
    </xf>
    <xf numFmtId="49" fontId="8" fillId="8" borderId="0" xfId="5" applyFill="1" applyBorder="1">
      <alignment wrapText="1"/>
    </xf>
    <xf numFmtId="0" fontId="9" fillId="7" borderId="7" xfId="6" applyFont="1" applyFill="1" applyBorder="1"/>
    <xf numFmtId="0" fontId="9" fillId="7" borderId="7" xfId="6" applyFill="1" applyBorder="1"/>
    <xf numFmtId="9" fontId="9" fillId="7" borderId="7" xfId="3" applyFont="1" applyFill="1" applyBorder="1" applyAlignment="1">
      <alignment horizontal="center"/>
    </xf>
    <xf numFmtId="0" fontId="9" fillId="7" borderId="7" xfId="6" applyFill="1" applyBorder="1" applyAlignment="1">
      <alignment horizontal="center"/>
    </xf>
  </cellXfs>
  <cellStyles count="7">
    <cellStyle name="20% - Accent4" xfId="1" builtinId="42" customBuiltin="1"/>
    <cellStyle name="60% - Accent3" xfId="2" builtinId="40" customBuiltin="1"/>
    <cellStyle name="Header 1" xfId="5"/>
    <cellStyle name="Normal" xfId="0" builtinId="0"/>
    <cellStyle name="Percent" xfId="3" builtinId="5"/>
    <cellStyle name="Style 1" xfId="4"/>
    <cellStyle name="Subheader" xfId="6"/>
  </cellStyles>
  <dxfs count="17">
    <dxf>
      <font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relativeIndent="255" justifyLastLine="0" shrinkToFit="0" mergeCell="0" readingOrder="0"/>
    </dxf>
    <dxf>
      <font>
        <u val="none"/>
        <vertAlign val="baseline"/>
        <sz val="10"/>
        <color auto="1"/>
        <name val="Calibri"/>
        <scheme val="minor"/>
      </font>
      <numFmt numFmtId="13" formatCode="0%"/>
      <fill>
        <patternFill patternType="solid">
          <fgColor indexed="64"/>
          <bgColor theme="0" tint="-0.1499679555650502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relativeIndent="255" justifyLastLine="0" shrinkToFit="0" mergeCell="0" readingOrder="0"/>
    </dxf>
    <dxf>
      <font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  <alignment horizontal="general" vertical="bottom" textRotation="0" wrapText="1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font>
        <b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u val="none"/>
        <vertAlign val="baseline"/>
        <sz val="10"/>
        <name val="Arial"/>
        <scheme val="none"/>
      </font>
      <fill>
        <patternFill patternType="solid">
          <fgColor indexed="64"/>
          <bgColor theme="0" tint="-0.14996795556505021"/>
        </patternFill>
      </fill>
      <alignment horizontal="general" vertical="bottom" textRotation="0" indent="0" relativeIndent="0" justifyLastLine="0" shrinkToFit="0" mergeCell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u val="none"/>
        <vertAlign val="baseline"/>
        <sz val="10"/>
        <color theme="1"/>
        <name val="Arial"/>
        <scheme val="none"/>
      </font>
      <alignment horizontal="general" vertical="bottom" textRotation="0" indent="0" relativeIndent="0" justifyLastLine="0" shrinkToFit="0" mergeCell="0" readingOrder="0"/>
    </dxf>
    <dxf>
      <font>
        <b/>
        <u val="none"/>
        <vertAlign val="baseline"/>
        <sz val="10"/>
        <name val="Calibri"/>
        <scheme val="minor"/>
      </font>
      <fill>
        <patternFill patternType="solid">
          <fgColor indexed="64"/>
          <bgColor theme="5"/>
        </patternFill>
      </fill>
      <border diagonalUp="0" diagonalDown="0">
        <left style="thick">
          <color rgb="FFAED4B4"/>
        </left>
        <right style="thick">
          <color rgb="FFAED4B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D8D8D8"/>
      <color rgb="FFE0E9F4"/>
      <color rgb="FFAED4B4"/>
      <color rgb="FFE0E9F9"/>
      <color rgb="FFAE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0:E65" totalsRowCount="1" headerRowDxfId="10" dataDxfId="9" totalsRowDxfId="7" tableBorderDxfId="8" headerRowCellStyle="Header 1">
  <autoFilter ref="A10:E64"/>
  <tableColumns count="5">
    <tableColumn id="1" name="Category" totalsRowLabel="TOTAL" totalsRowDxfId="6"/>
    <tableColumn id="2" name="Sub-Category" totalsRowDxfId="5"/>
    <tableColumn id="3" name="Category Weight" totalsRowFunction="custom" dataDxfId="4" totalsRowDxfId="3">
      <totalsRowFormula xml:space="preserve"> SUM(C58,C50,C41,C27,C20,C11)</totalsRowFormula>
    </tableColumn>
    <tableColumn id="4" name="Sub-Category Weight" dataDxfId="2" totalsRowDxfId="1"/>
    <tableColumn id="5" name="Data Source" totalsRow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00"/>
  <sheetViews>
    <sheetView showGridLines="0" tabSelected="1" workbookViewId="0">
      <pane ySplit="10" topLeftCell="A11" activePane="bottomLeft" state="frozenSplit"/>
      <selection pane="bottomLeft"/>
    </sheetView>
  </sheetViews>
  <sheetFormatPr defaultRowHeight="15"/>
  <cols>
    <col min="1" max="1" width="23.7109375" customWidth="1"/>
    <col min="2" max="2" width="31.85546875" customWidth="1"/>
    <col min="3" max="3" width="16.5703125" customWidth="1"/>
    <col min="4" max="4" width="23" customWidth="1"/>
    <col min="5" max="5" width="19.85546875" style="7" customWidth="1"/>
    <col min="6" max="26" width="9.140625" style="5"/>
  </cols>
  <sheetData>
    <row r="1" spans="1:26">
      <c r="A1" s="3" t="s">
        <v>43</v>
      </c>
      <c r="B1" s="5"/>
      <c r="C1" s="5"/>
      <c r="D1" s="5"/>
      <c r="E1" s="5"/>
    </row>
    <row r="2" spans="1:26" ht="12.75" customHeight="1">
      <c r="A2" s="4" t="s">
        <v>61</v>
      </c>
      <c r="B2" s="5"/>
      <c r="C2" s="5"/>
      <c r="D2" s="5"/>
      <c r="E2" s="5"/>
    </row>
    <row r="3" spans="1:26" ht="12.75" customHeight="1">
      <c r="A3" s="4" t="s">
        <v>62</v>
      </c>
      <c r="B3" s="5"/>
      <c r="C3" s="5"/>
      <c r="D3" s="5"/>
      <c r="E3" s="5"/>
    </row>
    <row r="4" spans="1:26" ht="12.75" customHeight="1">
      <c r="A4" s="4" t="s">
        <v>63</v>
      </c>
      <c r="B4" s="5"/>
      <c r="C4" s="5"/>
      <c r="D4" s="5"/>
      <c r="E4" s="5"/>
    </row>
    <row r="5" spans="1:26" ht="12.75" customHeight="1">
      <c r="A5" s="4" t="s">
        <v>64</v>
      </c>
      <c r="B5" s="5"/>
      <c r="C5" s="5"/>
      <c r="D5" s="5"/>
      <c r="E5" s="5"/>
    </row>
    <row r="6" spans="1:26" ht="12.75" customHeight="1">
      <c r="A6" s="6"/>
      <c r="B6" s="5"/>
      <c r="C6" s="5"/>
      <c r="D6" s="5"/>
      <c r="E6" s="5"/>
    </row>
    <row r="7" spans="1:26" ht="42" customHeight="1">
      <c r="A7" s="36" t="s">
        <v>60</v>
      </c>
    </row>
    <row r="8" spans="1:26" ht="13.5" customHeight="1">
      <c r="A8" s="37"/>
      <c r="B8" s="37"/>
      <c r="C8" s="37"/>
      <c r="D8" s="37"/>
      <c r="E8" s="37"/>
    </row>
    <row r="9" spans="1:26" s="9" customFormat="1" ht="13.5" customHeight="1">
      <c r="A9" s="8"/>
      <c r="B9" s="8"/>
      <c r="C9" s="8"/>
      <c r="D9" s="8"/>
      <c r="E9" s="8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26" s="1" customFormat="1" ht="27" customHeight="1" thickBot="1">
      <c r="A10" s="43" t="s">
        <v>58</v>
      </c>
      <c r="B10" s="44" t="s">
        <v>21</v>
      </c>
      <c r="C10" s="43" t="s">
        <v>59</v>
      </c>
      <c r="D10" s="43" t="s">
        <v>22</v>
      </c>
      <c r="E10" s="44" t="s">
        <v>23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s="2" customFormat="1" ht="15.75" customHeight="1">
      <c r="A11" s="45" t="s">
        <v>27</v>
      </c>
      <c r="B11" s="46"/>
      <c r="C11" s="47">
        <v>0.4</v>
      </c>
      <c r="D11" s="48"/>
      <c r="E11" s="46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s="2" customFormat="1" ht="12.75">
      <c r="A12" s="10"/>
      <c r="B12" s="11" t="s">
        <v>0</v>
      </c>
      <c r="C12" s="24"/>
      <c r="D12" s="28">
        <v>0.15</v>
      </c>
      <c r="E12" s="12" t="s">
        <v>35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s="2" customFormat="1" ht="12.75">
      <c r="A13" s="10"/>
      <c r="B13" s="11" t="s">
        <v>1</v>
      </c>
      <c r="C13" s="24"/>
      <c r="D13" s="28">
        <v>0.25</v>
      </c>
      <c r="E13" s="12" t="s">
        <v>35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s="2" customFormat="1" ht="12.75">
      <c r="A14" s="10"/>
      <c r="B14" s="11" t="s">
        <v>2</v>
      </c>
      <c r="C14" s="24"/>
      <c r="D14" s="28">
        <v>0.1</v>
      </c>
      <c r="E14" s="12" t="s">
        <v>35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s="2" customFormat="1" ht="12.75">
      <c r="A15" s="10"/>
      <c r="B15" s="11" t="s">
        <v>3</v>
      </c>
      <c r="C15" s="24"/>
      <c r="D15" s="28">
        <v>0.15</v>
      </c>
      <c r="E15" s="12" t="s">
        <v>35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s="2" customFormat="1" ht="12.75">
      <c r="A16" s="10"/>
      <c r="B16" s="11" t="s">
        <v>4</v>
      </c>
      <c r="C16" s="24"/>
      <c r="D16" s="28">
        <v>0.15</v>
      </c>
      <c r="E16" s="12" t="s">
        <v>35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s="2" customFormat="1" ht="12.75">
      <c r="A17" s="10"/>
      <c r="B17" s="11" t="s">
        <v>5</v>
      </c>
      <c r="C17" s="24"/>
      <c r="D17" s="28">
        <v>0.2</v>
      </c>
      <c r="E17" s="12" t="s">
        <v>35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s="2" customFormat="1" ht="12.75">
      <c r="A18" s="10"/>
      <c r="B18" s="12"/>
      <c r="C18" s="24"/>
      <c r="D18" s="29"/>
      <c r="E18" s="12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s="2" customFormat="1" ht="13.5" thickBot="1">
      <c r="A19" s="10"/>
      <c r="B19" s="20" t="s">
        <v>25</v>
      </c>
      <c r="C19" s="25"/>
      <c r="D19" s="30">
        <f>SUM(D12:D18)</f>
        <v>1</v>
      </c>
      <c r="E19" s="19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s="2" customFormat="1" ht="15.75" customHeight="1">
      <c r="A20" s="39" t="s">
        <v>28</v>
      </c>
      <c r="B20" s="39"/>
      <c r="C20" s="40">
        <v>0.25</v>
      </c>
      <c r="D20" s="41"/>
      <c r="E20" s="39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s="2" customFormat="1" ht="12.75">
      <c r="A21" s="10"/>
      <c r="B21" s="11" t="s">
        <v>6</v>
      </c>
      <c r="C21" s="24"/>
      <c r="D21" s="29">
        <v>0.25</v>
      </c>
      <c r="E21" s="12" t="s">
        <v>36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s="2" customFormat="1" ht="12.75">
      <c r="A22" s="10"/>
      <c r="B22" s="11" t="s">
        <v>7</v>
      </c>
      <c r="C22" s="24"/>
      <c r="D22" s="29">
        <v>0.25</v>
      </c>
      <c r="E22" s="12" t="s">
        <v>36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s="2" customFormat="1" ht="12.75">
      <c r="A23" s="10"/>
      <c r="B23" s="11" t="s">
        <v>8</v>
      </c>
      <c r="C23" s="24"/>
      <c r="D23" s="29">
        <v>0.25</v>
      </c>
      <c r="E23" s="12" t="s">
        <v>36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s="2" customFormat="1" ht="25.5">
      <c r="A24" s="10"/>
      <c r="B24" s="11" t="s">
        <v>9</v>
      </c>
      <c r="C24" s="24"/>
      <c r="D24" s="29">
        <v>0.25</v>
      </c>
      <c r="E24" s="12" t="s">
        <v>36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s="2" customFormat="1" ht="12.75">
      <c r="A25" s="13"/>
      <c r="B25" s="11"/>
      <c r="C25" s="24"/>
      <c r="D25" s="29" t="s">
        <v>26</v>
      </c>
      <c r="E25" s="12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s="2" customFormat="1" ht="13.5" thickBot="1">
      <c r="A26" s="14"/>
      <c r="B26" s="20" t="s">
        <v>25</v>
      </c>
      <c r="C26" s="26"/>
      <c r="D26" s="29">
        <f>SUM(D21:D25)</f>
        <v>1</v>
      </c>
      <c r="E26" s="19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s="2" customFormat="1" ht="15.75" customHeight="1">
      <c r="A27" s="39" t="s">
        <v>29</v>
      </c>
      <c r="B27" s="39"/>
      <c r="C27" s="40">
        <v>0.1</v>
      </c>
      <c r="D27" s="41"/>
      <c r="E27" s="39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s="2" customFormat="1" ht="12.75">
      <c r="A28" s="10"/>
      <c r="B28" s="11" t="s">
        <v>10</v>
      </c>
      <c r="C28" s="24"/>
      <c r="D28" s="29">
        <v>0.05</v>
      </c>
      <c r="E28" s="12" t="s">
        <v>37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s="2" customFormat="1" ht="12.75">
      <c r="A29" s="10"/>
      <c r="B29" s="11" t="s">
        <v>11</v>
      </c>
      <c r="C29" s="24"/>
      <c r="D29" s="29">
        <v>0.05</v>
      </c>
      <c r="E29" s="12" t="s">
        <v>37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s="2" customFormat="1" ht="12.75">
      <c r="A30" s="10"/>
      <c r="B30" s="11" t="s">
        <v>12</v>
      </c>
      <c r="C30" s="24"/>
      <c r="D30" s="29">
        <v>0.05</v>
      </c>
      <c r="E30" s="12" t="s">
        <v>37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s="2" customFormat="1" ht="12.75">
      <c r="A31" s="10"/>
      <c r="B31" s="11" t="s">
        <v>13</v>
      </c>
      <c r="C31" s="24"/>
      <c r="D31" s="29">
        <v>0.05</v>
      </c>
      <c r="E31" s="12" t="s">
        <v>37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s="2" customFormat="1" ht="12.75">
      <c r="A32" s="10"/>
      <c r="B32" s="11" t="s">
        <v>14</v>
      </c>
      <c r="C32" s="24"/>
      <c r="D32" s="29">
        <v>0.05</v>
      </c>
      <c r="E32" s="12" t="s">
        <v>37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s="2" customFormat="1" ht="12.75">
      <c r="A33" s="10"/>
      <c r="B33" s="11" t="s">
        <v>16</v>
      </c>
      <c r="C33" s="24"/>
      <c r="D33" s="29">
        <v>0.1</v>
      </c>
      <c r="E33" s="12" t="s">
        <v>37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s="2" customFormat="1" ht="12.75">
      <c r="A34" s="10"/>
      <c r="B34" s="11" t="s">
        <v>17</v>
      </c>
      <c r="C34" s="24"/>
      <c r="D34" s="29">
        <v>0.1</v>
      </c>
      <c r="E34" s="12" t="s">
        <v>37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s="2" customFormat="1" ht="12.75">
      <c r="A35" s="10"/>
      <c r="B35" s="11" t="s">
        <v>15</v>
      </c>
      <c r="C35" s="24"/>
      <c r="D35" s="29">
        <v>0.2</v>
      </c>
      <c r="E35" s="12" t="s">
        <v>37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s="2" customFormat="1" ht="12.75">
      <c r="A36" s="10"/>
      <c r="B36" s="11" t="s">
        <v>18</v>
      </c>
      <c r="C36" s="24"/>
      <c r="D36" s="29">
        <v>0.15</v>
      </c>
      <c r="E36" s="12" t="s">
        <v>37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s="2" customFormat="1" ht="12.75">
      <c r="A37" s="10"/>
      <c r="B37" s="11" t="s">
        <v>19</v>
      </c>
      <c r="C37" s="24"/>
      <c r="D37" s="29">
        <v>0.1</v>
      </c>
      <c r="E37" s="12" t="s">
        <v>37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s="2" customFormat="1" ht="12.75">
      <c r="A38" s="10"/>
      <c r="B38" s="11" t="s">
        <v>20</v>
      </c>
      <c r="C38" s="24"/>
      <c r="D38" s="31">
        <v>0.1</v>
      </c>
      <c r="E38" s="12" t="s">
        <v>34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s="2" customFormat="1" ht="12.75">
      <c r="A39" s="12"/>
      <c r="B39" s="11"/>
      <c r="C39" s="24"/>
      <c r="D39" s="29"/>
      <c r="E39" s="1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s="2" customFormat="1" ht="13.5" thickBot="1">
      <c r="A40" s="23"/>
      <c r="B40" s="20" t="s">
        <v>25</v>
      </c>
      <c r="C40" s="27"/>
      <c r="D40" s="29">
        <f xml:space="preserve"> SUM(D28:D39)</f>
        <v>0.99999999999999989</v>
      </c>
      <c r="E40" s="19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s="2" customFormat="1" ht="15.75" customHeight="1">
      <c r="A41" s="39" t="s">
        <v>30</v>
      </c>
      <c r="B41" s="39"/>
      <c r="C41" s="40">
        <v>0.1</v>
      </c>
      <c r="D41" s="41"/>
      <c r="E41" s="39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s="2" customFormat="1" ht="25.5">
      <c r="A42" s="12"/>
      <c r="B42" s="11" t="s">
        <v>44</v>
      </c>
      <c r="C42" s="24"/>
      <c r="D42" s="29">
        <v>0.2</v>
      </c>
      <c r="E42" s="12" t="s">
        <v>37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s="2" customFormat="1" ht="12.75">
      <c r="A43" s="12"/>
      <c r="B43" s="11" t="s">
        <v>45</v>
      </c>
      <c r="C43" s="24"/>
      <c r="D43" s="29">
        <v>0.1</v>
      </c>
      <c r="E43" s="12" t="s">
        <v>35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s="2" customFormat="1" ht="12.75">
      <c r="A44" s="12"/>
      <c r="B44" s="11" t="s">
        <v>46</v>
      </c>
      <c r="C44" s="24"/>
      <c r="D44" s="29">
        <v>0.2</v>
      </c>
      <c r="E44" s="12" t="s">
        <v>38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s="2" customFormat="1" ht="12.75">
      <c r="A45" s="12"/>
      <c r="B45" s="11" t="s">
        <v>47</v>
      </c>
      <c r="C45" s="24"/>
      <c r="D45" s="29">
        <v>0.25</v>
      </c>
      <c r="E45" s="12" t="s">
        <v>38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s="2" customFormat="1" ht="12.75">
      <c r="A46" s="12"/>
      <c r="B46" s="11" t="s">
        <v>48</v>
      </c>
      <c r="C46" s="24"/>
      <c r="D46" s="29">
        <v>0.15</v>
      </c>
      <c r="E46" s="12" t="s">
        <v>38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s="2" customFormat="1" ht="12.75">
      <c r="A47" s="12"/>
      <c r="B47" s="11" t="s">
        <v>49</v>
      </c>
      <c r="C47" s="24"/>
      <c r="D47" s="29">
        <v>0.1</v>
      </c>
      <c r="E47" s="12" t="s">
        <v>38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s="2" customFormat="1" ht="12.75">
      <c r="A48" s="12"/>
      <c r="B48" s="11"/>
      <c r="C48" s="24"/>
      <c r="D48" s="31" t="s">
        <v>26</v>
      </c>
      <c r="E48" s="12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s="2" customFormat="1" ht="13.5" thickBot="1">
      <c r="A49" s="23"/>
      <c r="B49" s="15" t="s">
        <v>25</v>
      </c>
      <c r="C49" s="38" t="s">
        <v>26</v>
      </c>
      <c r="D49" s="29">
        <f>SUM(D42:D48)</f>
        <v>1</v>
      </c>
      <c r="E49" s="16" t="s">
        <v>26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s="2" customFormat="1" ht="25.5">
      <c r="A50" s="42" t="s">
        <v>32</v>
      </c>
      <c r="B50" s="39"/>
      <c r="C50" s="40">
        <v>0.1</v>
      </c>
      <c r="D50" s="41"/>
      <c r="E50" s="39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s="2" customFormat="1" ht="12.75">
      <c r="A51" s="12"/>
      <c r="B51" s="17" t="s">
        <v>50</v>
      </c>
      <c r="C51" s="24"/>
      <c r="D51" s="29">
        <v>0.25</v>
      </c>
      <c r="E51" s="12" t="s">
        <v>39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s="2" customFormat="1" ht="12.75">
      <c r="A52" s="12"/>
      <c r="B52" s="17" t="s">
        <v>51</v>
      </c>
      <c r="C52" s="24"/>
      <c r="D52" s="29">
        <v>0.2</v>
      </c>
      <c r="E52" s="12" t="s">
        <v>39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s="2" customFormat="1" ht="12.75">
      <c r="A53" s="12"/>
      <c r="B53" s="17" t="s">
        <v>52</v>
      </c>
      <c r="C53" s="24"/>
      <c r="D53" s="29">
        <v>0.2</v>
      </c>
      <c r="E53" s="12" t="s">
        <v>39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s="2" customFormat="1" ht="12.75">
      <c r="A54" s="12"/>
      <c r="B54" s="17" t="s">
        <v>53</v>
      </c>
      <c r="C54" s="24"/>
      <c r="D54" s="29">
        <v>0.15</v>
      </c>
      <c r="E54" s="12" t="s">
        <v>39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s="2" customFormat="1" ht="12.75">
      <c r="A55" s="12"/>
      <c r="B55" s="17" t="s">
        <v>54</v>
      </c>
      <c r="C55" s="24"/>
      <c r="D55" s="29">
        <v>0.2</v>
      </c>
      <c r="E55" s="12" t="s">
        <v>39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s="2" customFormat="1" ht="12.75">
      <c r="A56" s="12"/>
      <c r="B56" s="17"/>
      <c r="C56" s="24"/>
      <c r="D56" s="29"/>
      <c r="E56" s="12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s="2" customFormat="1" ht="13.5" thickBot="1">
      <c r="A57" s="23"/>
      <c r="B57" s="18" t="s">
        <v>25</v>
      </c>
      <c r="C57" s="27"/>
      <c r="D57" s="31">
        <f>SUM(D51:D56)</f>
        <v>1</v>
      </c>
      <c r="E57" s="19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s="2" customFormat="1" ht="15.75" customHeight="1">
      <c r="A58" s="39" t="s">
        <v>31</v>
      </c>
      <c r="B58" s="39"/>
      <c r="C58" s="40">
        <v>0.05</v>
      </c>
      <c r="D58" s="41"/>
      <c r="E58" s="39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s="2" customFormat="1" ht="12.75">
      <c r="A59" s="12"/>
      <c r="B59" s="17" t="s">
        <v>55</v>
      </c>
      <c r="C59" s="24"/>
      <c r="D59" s="29">
        <v>0.25</v>
      </c>
      <c r="E59" s="12" t="s">
        <v>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s="2" customFormat="1" ht="12.75">
      <c r="A60" s="12"/>
      <c r="B60" s="17" t="s">
        <v>24</v>
      </c>
      <c r="C60" s="24"/>
      <c r="D60" s="29">
        <v>0.25</v>
      </c>
      <c r="E60" s="12" t="s">
        <v>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s="2" customFormat="1" ht="12.75">
      <c r="A61" s="12"/>
      <c r="B61" s="17" t="s">
        <v>56</v>
      </c>
      <c r="C61" s="24"/>
      <c r="D61" s="29">
        <v>0.25</v>
      </c>
      <c r="E61" s="12" t="s">
        <v>40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s="2" customFormat="1" ht="12.75">
      <c r="A62" s="12"/>
      <c r="B62" s="17" t="s">
        <v>57</v>
      </c>
      <c r="C62" s="24"/>
      <c r="D62" s="29">
        <v>0.25</v>
      </c>
      <c r="E62" s="12" t="s">
        <v>42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s="2" customFormat="1" ht="12.75">
      <c r="A63" s="12"/>
      <c r="B63" s="17"/>
      <c r="C63" s="24"/>
      <c r="D63" s="29"/>
      <c r="E63" s="12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s="2" customFormat="1" ht="12.75">
      <c r="A64" s="23"/>
      <c r="B64" s="18" t="s">
        <v>25</v>
      </c>
      <c r="C64" s="27"/>
      <c r="D64" s="29">
        <f xml:space="preserve"> SUM($D$59:$D$63)</f>
        <v>1</v>
      </c>
      <c r="E64" s="19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s="2" customFormat="1" ht="12.75">
      <c r="A65" s="32" t="s">
        <v>33</v>
      </c>
      <c r="B65" s="33"/>
      <c r="C65" s="34">
        <f xml:space="preserve"> SUM(C58,C50,C41,C27,C20,C11)</f>
        <v>1</v>
      </c>
      <c r="D65" s="35"/>
      <c r="E65" s="3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s="5" customFormat="1" ht="12.75">
      <c r="A66" s="22"/>
      <c r="B66" s="22"/>
    </row>
    <row r="67" spans="1:26" s="5" customFormat="1" ht="12.75"/>
    <row r="68" spans="1:26" s="5" customFormat="1" ht="12.75"/>
    <row r="69" spans="1:26" s="5" customFormat="1" ht="12.75"/>
    <row r="70" spans="1:26" s="5" customFormat="1" ht="12.75"/>
    <row r="71" spans="1:26" s="5" customFormat="1" ht="12.75"/>
    <row r="72" spans="1:26" s="5" customFormat="1" ht="12.75"/>
    <row r="73" spans="1:26" s="5" customFormat="1" ht="12.75"/>
    <row r="74" spans="1:26" s="5" customFormat="1" ht="12.75"/>
    <row r="75" spans="1:26" s="5" customFormat="1" ht="12.75"/>
    <row r="76" spans="1:26" s="5" customFormat="1" ht="12.75"/>
    <row r="77" spans="1:26" s="5" customFormat="1" ht="12.75"/>
    <row r="78" spans="1:26" s="5" customFormat="1" ht="12.75"/>
    <row r="79" spans="1:26" s="5" customFormat="1" ht="12.75"/>
    <row r="80" spans="1:26" s="5" customFormat="1" ht="12.75"/>
    <row r="81" s="5" customFormat="1" ht="12.75"/>
    <row r="82" s="5" customFormat="1" ht="12.75"/>
    <row r="83" s="5" customFormat="1" ht="12.75"/>
    <row r="84" s="5" customFormat="1" ht="12.75"/>
    <row r="85" s="5" customFormat="1" ht="12.75"/>
    <row r="86" s="5" customFormat="1" ht="12.75"/>
    <row r="87" s="5" customFormat="1" ht="12.75"/>
    <row r="88" s="5" customFormat="1" ht="12.75"/>
    <row r="89" s="5" customFormat="1" ht="12.75"/>
    <row r="90" s="5" customFormat="1" ht="12.75"/>
    <row r="91" s="5" customFormat="1" ht="12.75"/>
    <row r="92" s="5" customFormat="1" ht="12.75"/>
    <row r="93" s="5" customFormat="1" ht="12.75"/>
    <row r="94" s="5" customFormat="1" ht="12.75"/>
    <row r="95" s="5" customFormat="1" ht="12.75"/>
    <row r="96" s="5" customFormat="1" ht="12.75"/>
    <row r="97" s="5" customFormat="1" ht="12.75"/>
    <row r="98" s="5" customFormat="1" ht="12.75"/>
    <row r="99" s="5" customFormat="1" ht="12.75"/>
    <row r="100" s="5" customFormat="1" ht="12.75"/>
  </sheetData>
  <conditionalFormatting sqref="C65">
    <cfRule type="expression" dxfId="16" priority="58">
      <formula xml:space="preserve"> SUM($C$58,$C$50,$C$41,$C$27,$C$20,$C$11) &lt;&gt; 1</formula>
    </cfRule>
  </conditionalFormatting>
  <conditionalFormatting sqref="D64">
    <cfRule type="expression" dxfId="15" priority="7">
      <formula>D64 &lt;&gt; 1</formula>
    </cfRule>
  </conditionalFormatting>
  <conditionalFormatting sqref="D57">
    <cfRule type="expression" dxfId="14" priority="5">
      <formula>D57 &lt;&gt; 1</formula>
    </cfRule>
  </conditionalFormatting>
  <conditionalFormatting sqref="D40">
    <cfRule type="expression" dxfId="13" priority="3">
      <formula>D40 &lt;&gt; 1</formula>
    </cfRule>
  </conditionalFormatting>
  <conditionalFormatting sqref="D26">
    <cfRule type="expression" dxfId="12" priority="2">
      <formula>D26 &lt;&gt; 1</formula>
    </cfRule>
  </conditionalFormatting>
  <conditionalFormatting sqref="D19">
    <cfRule type="expression" dxfId="11" priority="1">
      <formula>D19 &lt;&gt; 1</formula>
    </cfRule>
  </conditionalFormatting>
  <pageMargins left="0.7" right="0.7" top="0.75" bottom="0.75" header="0.3" footer="0.3"/>
  <pageSetup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Vendor Rating Criteria Workbook</vt:lpstr>
      <vt:lpstr>Major_Category_Weight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2006-11-09T16:55:37Z</dcterms:created>
  <dcterms:modified xsi:type="dcterms:W3CDTF">2006-11-09T16:55:46Z</dcterms:modified>
</cp:coreProperties>
</file>
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/>
  <bookViews>
    <workbookView xWindow="30" yWindow="-15" windowWidth="15480" windowHeight="9405"/>
  </bookViews>
  <sheets>
    <sheet name="Vendor Performance Summary" sheetId="1" r:id="rId1"/>
    <sheet name="Vendor Detail" sheetId="2" r:id="rId2"/>
    <sheet name="Industry Summary" sheetId="3" r:id="rId3"/>
  </sheets>
  <calcPr calcId="124519"/>
  <webPublishing codePage="1252"/>
</workbook>
</file>

<file path=xl/calcChain.xml><?xml version="1.0" encoding="utf-8"?>
<calcChain xmlns="http://schemas.openxmlformats.org/spreadsheetml/2006/main">
  <c r="G4" i="1"/>
  <c r="B19" i="3"/>
  <c r="B10"/>
  <c r="G17" i="1" l="1"/>
  <c r="G18"/>
  <c r="G19"/>
  <c r="G20"/>
  <c r="G21"/>
  <c r="G22"/>
  <c r="D121" i="3"/>
  <c r="C121"/>
  <c r="B121"/>
  <c r="D112"/>
  <c r="C112"/>
  <c r="B112"/>
  <c r="D103"/>
  <c r="C103"/>
  <c r="B103"/>
  <c r="D94"/>
  <c r="C94"/>
  <c r="B94"/>
  <c r="C85"/>
  <c r="D85"/>
  <c r="B85"/>
  <c r="B67" i="2"/>
  <c r="B95"/>
  <c r="B51"/>
  <c r="B36"/>
  <c r="B81"/>
  <c r="G17"/>
  <c r="G18"/>
  <c r="G19"/>
  <c r="G20"/>
  <c r="G16"/>
  <c r="B2" i="3"/>
  <c r="C19"/>
  <c r="D19"/>
  <c r="E19"/>
  <c r="F19"/>
  <c r="B22" i="2" l="1"/>
</calcChain>
</file>

<file path=xl/sharedStrings.xml><?xml version="1.0" encoding="utf-8"?>
<sst xmlns="http://schemas.openxmlformats.org/spreadsheetml/2006/main" count="228" uniqueCount="111">
  <si>
    <t>Vendor's Name:</t>
  </si>
  <si>
    <t>Quality</t>
  </si>
  <si>
    <t>Delivery</t>
  </si>
  <si>
    <t>Total Cost</t>
  </si>
  <si>
    <t>Service</t>
  </si>
  <si>
    <t>Organizational Health</t>
  </si>
  <si>
    <t>Other</t>
  </si>
  <si>
    <t>Vendor's Self-Evaluation</t>
  </si>
  <si>
    <t>Company's Combined Score</t>
  </si>
  <si>
    <t>Weight</t>
  </si>
  <si>
    <t>Widgets</t>
  </si>
  <si>
    <t>H1 2006</t>
  </si>
  <si>
    <t>Bi-Annually</t>
  </si>
  <si>
    <t>Manufacturing</t>
  </si>
  <si>
    <t>Total Review Score:</t>
  </si>
  <si>
    <t>Overall Comments/ Issues:</t>
  </si>
  <si>
    <t>Section/Category Title</t>
  </si>
  <si>
    <t>Mean Company Score</t>
  </si>
  <si>
    <t>Comments/ Issues</t>
  </si>
  <si>
    <t>Defective Parts Per Million</t>
  </si>
  <si>
    <t>Mean Time Between Failure</t>
  </si>
  <si>
    <t>Mean Time to Repair</t>
  </si>
  <si>
    <t>Number of Units Rejected</t>
  </si>
  <si>
    <t>Number of Units Accepted</t>
  </si>
  <si>
    <t>Total Quality Score:</t>
  </si>
  <si>
    <t>Vendor's Self-Score</t>
  </si>
  <si>
    <t>Total Delivery Score:</t>
  </si>
  <si>
    <t>Total Cost Score:</t>
  </si>
  <si>
    <t>Total Service Score:</t>
  </si>
  <si>
    <t>Total Org. Health Score</t>
  </si>
  <si>
    <t>Total Other Score</t>
  </si>
  <si>
    <t>**This section is used as an example of the content type and conditional formatting for each of the other sections as well</t>
  </si>
  <si>
    <t>Additional Comments</t>
  </si>
  <si>
    <t>Action Items</t>
  </si>
  <si>
    <t>Due Date</t>
  </si>
  <si>
    <t>Owner</t>
  </si>
  <si>
    <t>Issue</t>
  </si>
  <si>
    <t>Example: Quality</t>
  </si>
  <si>
    <t>Too many Widgets arriving DOA</t>
  </si>
  <si>
    <t>Contact vendor shipping manager</t>
  </si>
  <si>
    <t>Industry:</t>
  </si>
  <si>
    <t>Annual Spend</t>
  </si>
  <si>
    <t>Vendor Rank</t>
  </si>
  <si>
    <t>Vendor Tier</t>
  </si>
  <si>
    <t>Total Vendor Score</t>
  </si>
  <si>
    <t>Vendor Comparison</t>
  </si>
  <si>
    <t>Trend Analysis of Vendor Performance</t>
  </si>
  <si>
    <t>Business Unit 1 Score</t>
  </si>
  <si>
    <t>Business Unit 2 Score</t>
  </si>
  <si>
    <t>Business Unit 3 Score</t>
  </si>
  <si>
    <t>Business Unit 4 Score</t>
  </si>
  <si>
    <t>Business Unit 5 Score</t>
  </si>
  <si>
    <t>Average # of Days Early/Late</t>
  </si>
  <si>
    <t>% of On-Time Shipments</t>
  </si>
  <si>
    <t># of Early/Late Shipments</t>
  </si>
  <si>
    <t>% of Shipments with Correct Quantity</t>
  </si>
  <si>
    <t>Transaction</t>
  </si>
  <si>
    <t>Post-Transaction</t>
  </si>
  <si>
    <t>Pre-Transaction</t>
  </si>
  <si>
    <t>Invoicing Accuracy (for PO's)</t>
  </si>
  <si>
    <t>Purchase Price Variance</t>
  </si>
  <si>
    <t>Quality of Customer Service</t>
  </si>
  <si>
    <t>Responsiveness to Change</t>
  </si>
  <si>
    <t>Responsiveness to Issues</t>
  </si>
  <si>
    <t>Timely Issue Notification</t>
  </si>
  <si>
    <t>Credit Score</t>
  </si>
  <si>
    <t>D&amp;B Rating</t>
  </si>
  <si>
    <t>Current Ratio</t>
  </si>
  <si>
    <t>Financial Stress Score and Percentile</t>
  </si>
  <si>
    <t>Debt-to-Equity Ratio</t>
  </si>
  <si>
    <t>Supplier Diversity</t>
  </si>
  <si>
    <t>Innovation</t>
  </si>
  <si>
    <t>Supply Chain Management</t>
  </si>
  <si>
    <t>Investment in Relationship</t>
  </si>
  <si>
    <t>Annual Spend Analysis</t>
  </si>
  <si>
    <t>Total Score</t>
  </si>
  <si>
    <t>Company's Combined Score2</t>
  </si>
  <si>
    <t>Vendor's Self-Evaluation3</t>
  </si>
  <si>
    <t>Company's Combined Score4</t>
  </si>
  <si>
    <t>Vendor's Self-Evaluation5</t>
  </si>
  <si>
    <t xml:space="preserve"> </t>
  </si>
  <si>
    <t>Contoso</t>
  </si>
  <si>
    <t>Josh Edwards</t>
  </si>
  <si>
    <t>[Company name]</t>
  </si>
  <si>
    <t>Vendor Performance Scorecard</t>
  </si>
  <si>
    <t>CURRENT REVIEW PERIOD SCORES</t>
  </si>
  <si>
    <t>PRIOR REVIEW PERIOD SCORES</t>
  </si>
  <si>
    <t>LIFETIME AVERAGE SCORES</t>
  </si>
  <si>
    <t>[Section/Category Title]</t>
  </si>
  <si>
    <t>Mean Company 
Score</t>
  </si>
  <si>
    <t>VENDOR BEING
EVALUATED</t>
  </si>
  <si>
    <t>VENDOR 2</t>
  </si>
  <si>
    <t>VENDOR 3</t>
  </si>
  <si>
    <t>VENDOR 4</t>
  </si>
  <si>
    <t>VENDOR 5</t>
  </si>
  <si>
    <t>WEIGHT</t>
  </si>
  <si>
    <t>TOTAL SPEND IN INDUSTRY:</t>
  </si>
  <si>
    <t>REVIEW DATE:</t>
  </si>
  <si>
    <t>BUSINESS UNIT(S) SERVED BY INDUSTRY:</t>
  </si>
  <si>
    <t>SCORE</t>
  </si>
  <si>
    <t>VENDOR'S INDUSTRY:</t>
  </si>
  <si>
    <t>REVIEW PERIOD:</t>
  </si>
  <si>
    <t>REVIEWER'S NAME:</t>
  </si>
  <si>
    <t>REVIEW FREQUENCY:</t>
  </si>
  <si>
    <t>ANNUAL SPEND WITH VENDOR:</t>
  </si>
  <si>
    <t>BUSINESS UNIT(S) SERVED:</t>
  </si>
  <si>
    <t>VENDOR'S NAME:</t>
  </si>
  <si>
    <t>**Data content provided as an example only</t>
  </si>
  <si>
    <t>**Data provided is sample only</t>
  </si>
  <si>
    <t>**'Weight' column is an aggregate of the 3 layers of weighting</t>
  </si>
  <si>
    <t>Jane Dow</t>
  </si>
</sst>
</file>

<file path=xl/styles.xml><?xml version="1.0" encoding="utf-8"?>
<styleSheet xmlns="http://schemas.openxmlformats.org/spreadsheetml/2006/main">
  <numFmts count="6">
    <numFmt numFmtId="6" formatCode="&quot;$&quot;#,##0_);[Red]\(&quot;$&quot;#,##0\)"/>
    <numFmt numFmtId="44" formatCode="_(&quot;$&quot;* #,##0.00_);_(&quot;$&quot;* \(#,##0.00\);_(&quot;$&quot;* &quot;-&quot;??_);_(@_)"/>
    <numFmt numFmtId="164" formatCode="[$-409]d\-mmm\-yy;@"/>
    <numFmt numFmtId="165" formatCode="0.0"/>
    <numFmt numFmtId="166" formatCode="[$-409]mmmm\ d\,\ yyyy;@"/>
    <numFmt numFmtId="167" formatCode="#,##0.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8"/>
      <color rgb="FF648DC6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648DC6"/>
      <name val="Calibri"/>
      <family val="2"/>
      <scheme val="minor"/>
    </font>
    <font>
      <sz val="18"/>
      <color theme="4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5"/>
      </patternFill>
    </fill>
    <fill>
      <patternFill patternType="solid">
        <fgColor theme="0"/>
      </patternFill>
    </fill>
    <fill>
      <patternFill patternType="solid">
        <fgColor rgb="FFD8D8D8"/>
      </patternFill>
    </fill>
    <fill>
      <patternFill patternType="solid">
        <fgColor theme="0" tint="-0.249977111117893"/>
        <bgColor indexed="65"/>
      </patternFill>
    </fill>
    <fill>
      <gradientFill degree="90">
        <stop position="0">
          <color theme="4" tint="0.59999389629810485"/>
        </stop>
        <stop position="1">
          <color rgb="FFFFFFFF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gradientFill degree="90">
        <stop position="0">
          <color theme="4" tint="0.59999389629810485"/>
        </stop>
        <stop position="1">
          <color theme="0"/>
        </stop>
      </gradient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546D80"/>
      </top>
      <bottom/>
      <diagonal/>
    </border>
    <border>
      <left/>
      <right/>
      <top style="thin">
        <color rgb="FF406F96"/>
      </top>
      <bottom style="thin">
        <color rgb="FF406F96"/>
      </bottom>
      <diagonal/>
    </border>
    <border>
      <left/>
      <right/>
      <top/>
      <bottom style="thin">
        <color rgb="FF648DC6"/>
      </bottom>
      <diagonal/>
    </border>
    <border>
      <left/>
      <right/>
      <top style="medium">
        <color rgb="FFAED4B4"/>
      </top>
      <bottom/>
      <diagonal/>
    </border>
    <border>
      <left style="hair">
        <color rgb="FF969696"/>
      </left>
      <right style="hair">
        <color rgb="FF969696"/>
      </right>
      <top/>
      <bottom/>
      <diagonal/>
    </border>
    <border>
      <left/>
      <right/>
      <top/>
      <bottom style="medium">
        <color rgb="FFAED4B4"/>
      </bottom>
      <diagonal/>
    </border>
    <border>
      <left style="hair">
        <color rgb="FF969696"/>
      </left>
      <right style="hair">
        <color rgb="FF969696"/>
      </right>
      <top/>
      <bottom style="medium">
        <color rgb="FFAED4B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/>
      <top/>
      <bottom style="thin">
        <color rgb="FF3E6F96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rgb="FF3E6F96"/>
      </bottom>
      <diagonal/>
    </border>
    <border>
      <left style="hair">
        <color auto="1"/>
      </left>
      <right style="hair">
        <color auto="1"/>
      </right>
      <top/>
      <bottom style="thin">
        <color rgb="FF3E6F96"/>
      </bottom>
      <diagonal/>
    </border>
    <border>
      <left style="hair">
        <color auto="1"/>
      </left>
      <right/>
      <top/>
      <bottom style="thin">
        <color rgb="FF3E6F96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rgb="FF969696"/>
      </right>
      <top style="thin">
        <color auto="1"/>
      </top>
      <bottom/>
      <diagonal/>
    </border>
    <border>
      <left style="thin">
        <color auto="1"/>
      </left>
      <right style="hair">
        <color rgb="FF969696"/>
      </right>
      <top/>
      <bottom/>
      <diagonal/>
    </border>
    <border>
      <left style="hair">
        <color rgb="FF969696"/>
      </left>
      <right style="hair">
        <color rgb="FF969696"/>
      </right>
      <top style="thin">
        <color rgb="FF3E6F96"/>
      </top>
      <bottom/>
      <diagonal/>
    </border>
    <border>
      <left/>
      <right/>
      <top style="thin">
        <color rgb="FF3E6F96"/>
      </top>
      <bottom/>
      <diagonal/>
    </border>
    <border>
      <left/>
      <right style="hair">
        <color rgb="FF969696"/>
      </right>
      <top style="thin">
        <color rgb="FF3E6F96"/>
      </top>
      <bottom/>
      <diagonal/>
    </border>
    <border>
      <left/>
      <right style="hair">
        <color rgb="FF969696"/>
      </right>
      <top/>
      <bottom/>
      <diagonal/>
    </border>
    <border>
      <left style="hair">
        <color rgb="FF969696"/>
      </left>
      <right/>
      <top style="thin">
        <color rgb="FF3E6F96"/>
      </top>
      <bottom/>
      <diagonal/>
    </border>
    <border>
      <left style="hair">
        <color rgb="FF969696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rgb="FF3E6F96"/>
      </top>
      <bottom/>
      <diagonal/>
    </border>
    <border>
      <left style="hair">
        <color rgb="FF969696"/>
      </left>
      <right style="thin">
        <color indexed="64"/>
      </right>
      <top/>
      <bottom/>
      <diagonal/>
    </border>
    <border>
      <left/>
      <right/>
      <top style="thin">
        <color rgb="FF3E6F96"/>
      </top>
      <bottom style="thin">
        <color rgb="FF3E6F96"/>
      </bottom>
      <diagonal/>
    </border>
    <border>
      <left/>
      <right style="dotted">
        <color rgb="FF969696"/>
      </right>
      <top/>
      <bottom/>
      <diagonal/>
    </border>
    <border>
      <left style="dotted">
        <color rgb="FF969696"/>
      </left>
      <right style="dotted">
        <color rgb="FF969696"/>
      </right>
      <top/>
      <bottom/>
      <diagonal/>
    </border>
    <border>
      <left style="hair">
        <color rgb="FF969696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ck">
        <color theme="5"/>
      </top>
      <bottom/>
      <diagonal/>
    </border>
    <border>
      <left/>
      <right/>
      <top style="medium">
        <color theme="5"/>
      </top>
      <bottom style="thin">
        <color rgb="FF3E6F96"/>
      </bottom>
      <diagonal/>
    </border>
    <border>
      <left/>
      <right/>
      <top style="medium">
        <color theme="5"/>
      </top>
      <bottom/>
      <diagonal/>
    </border>
    <border>
      <left/>
      <right style="hair">
        <color auto="1"/>
      </right>
      <top style="medium">
        <color theme="5"/>
      </top>
      <bottom/>
      <diagonal/>
    </border>
    <border>
      <left style="hair">
        <color auto="1"/>
      </left>
      <right/>
      <top style="medium">
        <color theme="5"/>
      </top>
      <bottom/>
      <diagonal/>
    </border>
    <border>
      <left style="hair">
        <color auto="1"/>
      </left>
      <right style="hair">
        <color auto="1"/>
      </right>
      <top style="medium">
        <color theme="5"/>
      </top>
      <bottom/>
      <diagonal/>
    </border>
    <border>
      <left/>
      <right/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9" fontId="17" fillId="0" borderId="4">
      <alignment wrapText="1"/>
    </xf>
  </cellStyleXfs>
  <cellXfs count="163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Fill="1" applyBorder="1" applyAlignment="1">
      <alignment horizontal="right"/>
    </xf>
    <xf numFmtId="0" fontId="8" fillId="0" borderId="0" xfId="0" applyFont="1"/>
    <xf numFmtId="0" fontId="0" fillId="0" borderId="0" xfId="0" applyFill="1" applyBorder="1"/>
    <xf numFmtId="0" fontId="9" fillId="0" borderId="0" xfId="0" applyFont="1"/>
    <xf numFmtId="0" fontId="5" fillId="0" borderId="0" xfId="0" applyFont="1" applyFill="1" applyBorder="1"/>
    <xf numFmtId="0" fontId="5" fillId="0" borderId="0" xfId="0" applyFont="1"/>
    <xf numFmtId="0" fontId="3" fillId="0" borderId="0" xfId="0" applyFont="1"/>
    <xf numFmtId="0" fontId="4" fillId="0" borderId="0" xfId="0" applyFont="1" applyAlignment="1">
      <alignment horizontal="right" indent="1"/>
    </xf>
    <xf numFmtId="0" fontId="0" fillId="0" borderId="0" xfId="0" applyBorder="1" applyAlignment="1"/>
    <xf numFmtId="0" fontId="11" fillId="0" borderId="0" xfId="0" applyFont="1"/>
    <xf numFmtId="0" fontId="10" fillId="0" borderId="0" xfId="0" applyFont="1"/>
    <xf numFmtId="0" fontId="12" fillId="0" borderId="0" xfId="0" applyFont="1"/>
    <xf numFmtId="0" fontId="14" fillId="0" borderId="0" xfId="0" applyFont="1"/>
    <xf numFmtId="0" fontId="2" fillId="0" borderId="0" xfId="0" applyFont="1"/>
    <xf numFmtId="0" fontId="14" fillId="0" borderId="0" xfId="0" applyFont="1" applyAlignment="1">
      <alignment horizontal="left"/>
    </xf>
    <xf numFmtId="6" fontId="14" fillId="0" borderId="0" xfId="0" applyNumberFormat="1" applyFont="1" applyAlignment="1">
      <alignment horizontal="left"/>
    </xf>
    <xf numFmtId="0" fontId="15" fillId="0" borderId="0" xfId="0" applyFont="1"/>
    <xf numFmtId="0" fontId="19" fillId="0" borderId="0" xfId="0" applyFont="1" applyFill="1" applyBorder="1" applyAlignment="1">
      <alignment horizontal="left"/>
    </xf>
    <xf numFmtId="0" fontId="19" fillId="0" borderId="0" xfId="0" applyFont="1" applyBorder="1" applyAlignment="1">
      <alignment horizontal="left" indent="2"/>
    </xf>
    <xf numFmtId="0" fontId="19" fillId="0" borderId="0" xfId="0" applyFont="1" applyAlignment="1">
      <alignment horizontal="left" indent="2"/>
    </xf>
    <xf numFmtId="0" fontId="19" fillId="0" borderId="0" xfId="0" applyFont="1" applyFill="1" applyBorder="1" applyAlignment="1">
      <alignment horizontal="left" indent="2"/>
    </xf>
    <xf numFmtId="0" fontId="19" fillId="0" borderId="8" xfId="0" applyFont="1" applyBorder="1" applyAlignment="1">
      <alignment horizontal="right" indent="2"/>
    </xf>
    <xf numFmtId="0" fontId="14" fillId="0" borderId="0" xfId="0" applyFont="1" applyAlignment="1">
      <alignment horizontal="right" indent="1"/>
    </xf>
    <xf numFmtId="0" fontId="0" fillId="0" borderId="0" xfId="0" applyFont="1"/>
    <xf numFmtId="0" fontId="0" fillId="0" borderId="0" xfId="0" applyFont="1" applyAlignment="1">
      <alignment horizontal="right" indent="1"/>
    </xf>
    <xf numFmtId="164" fontId="14" fillId="0" borderId="0" xfId="0" applyNumberFormat="1" applyFont="1" applyAlignment="1">
      <alignment horizontal="right" indent="1"/>
    </xf>
    <xf numFmtId="6" fontId="14" fillId="0" borderId="0" xfId="0" applyNumberFormat="1" applyFont="1" applyAlignment="1">
      <alignment horizontal="right" indent="1"/>
    </xf>
    <xf numFmtId="166" fontId="14" fillId="0" borderId="0" xfId="0" applyNumberFormat="1" applyFont="1" applyAlignment="1">
      <alignment horizontal="left"/>
    </xf>
    <xf numFmtId="0" fontId="2" fillId="0" borderId="0" xfId="0" applyFont="1" applyAlignment="1">
      <alignment horizontal="right" indent="1"/>
    </xf>
    <xf numFmtId="49" fontId="16" fillId="0" borderId="0" xfId="2" applyFont="1" applyFill="1" applyBorder="1" applyAlignment="1"/>
    <xf numFmtId="0" fontId="0" fillId="0" borderId="0" xfId="0" applyFill="1" applyAlignment="1">
      <alignment wrapText="1"/>
    </xf>
    <xf numFmtId="0" fontId="0" fillId="0" borderId="0" xfId="0" applyFill="1"/>
    <xf numFmtId="0" fontId="18" fillId="0" borderId="0" xfId="0" applyFont="1" applyFill="1" applyBorder="1" applyAlignment="1">
      <alignment horizontal="center"/>
    </xf>
    <xf numFmtId="0" fontId="21" fillId="0" borderId="10" xfId="0" applyFont="1" applyBorder="1" applyAlignment="1">
      <alignment horizontal="right"/>
    </xf>
    <xf numFmtId="0" fontId="21" fillId="0" borderId="21" xfId="0" applyFont="1" applyBorder="1" applyAlignment="1">
      <alignment horizontal="right"/>
    </xf>
    <xf numFmtId="0" fontId="14" fillId="0" borderId="0" xfId="0" applyFont="1" applyAlignment="1">
      <alignment wrapText="1"/>
    </xf>
    <xf numFmtId="0" fontId="0" fillId="3" borderId="24" xfId="0" applyFill="1" applyBorder="1" applyAlignment="1"/>
    <xf numFmtId="0" fontId="0" fillId="3" borderId="25" xfId="0" applyFill="1" applyBorder="1" applyAlignment="1"/>
    <xf numFmtId="0" fontId="18" fillId="0" borderId="29" xfId="0" applyFont="1" applyFill="1" applyBorder="1" applyAlignment="1">
      <alignment horizontal="left"/>
    </xf>
    <xf numFmtId="0" fontId="18" fillId="0" borderId="7" xfId="0" applyFont="1" applyFill="1" applyBorder="1" applyAlignment="1">
      <alignment horizontal="left"/>
    </xf>
    <xf numFmtId="166" fontId="14" fillId="0" borderId="0" xfId="0" applyNumberFormat="1" applyFont="1" applyAlignment="1">
      <alignment horizontal="right" indent="1"/>
    </xf>
    <xf numFmtId="165" fontId="19" fillId="0" borderId="0" xfId="0" applyNumberFormat="1" applyFont="1"/>
    <xf numFmtId="0" fontId="19" fillId="0" borderId="0" xfId="0" applyFont="1"/>
    <xf numFmtId="0" fontId="18" fillId="0" borderId="0" xfId="0" applyFont="1" applyFill="1" applyBorder="1"/>
    <xf numFmtId="0" fontId="21" fillId="0" borderId="0" xfId="0" applyFont="1" applyFill="1" applyBorder="1" applyAlignment="1">
      <alignment horizontal="right"/>
    </xf>
    <xf numFmtId="0" fontId="21" fillId="4" borderId="36" xfId="0" applyFont="1" applyFill="1" applyBorder="1"/>
    <xf numFmtId="0" fontId="21" fillId="0" borderId="27" xfId="0" applyFont="1" applyFill="1" applyBorder="1" applyAlignment="1">
      <alignment horizontal="left" indent="1"/>
    </xf>
    <xf numFmtId="0" fontId="21" fillId="0" borderId="0" xfId="0" applyFont="1" applyFill="1" applyBorder="1" applyAlignment="1">
      <alignment horizontal="left" indent="1"/>
    </xf>
    <xf numFmtId="0" fontId="0" fillId="3" borderId="37" xfId="0" applyFill="1" applyBorder="1" applyAlignment="1"/>
    <xf numFmtId="0" fontId="0" fillId="3" borderId="31" xfId="0" applyFill="1" applyBorder="1" applyAlignment="1"/>
    <xf numFmtId="0" fontId="0" fillId="3" borderId="25" xfId="0" applyFill="1" applyBorder="1" applyAlignment="1">
      <alignment horizontal="right" indent="1"/>
    </xf>
    <xf numFmtId="0" fontId="0" fillId="3" borderId="0" xfId="0" applyFill="1" applyBorder="1" applyAlignment="1"/>
    <xf numFmtId="0" fontId="0" fillId="3" borderId="14" xfId="0" applyFill="1" applyBorder="1" applyAlignment="1">
      <alignment horizontal="right" indent="1"/>
    </xf>
    <xf numFmtId="0" fontId="0" fillId="3" borderId="24" xfId="0" applyFill="1" applyBorder="1" applyAlignment="1">
      <alignment horizontal="right" indent="1"/>
    </xf>
    <xf numFmtId="0" fontId="0" fillId="3" borderId="38" xfId="0" applyFill="1" applyBorder="1" applyAlignment="1"/>
    <xf numFmtId="0" fontId="0" fillId="3" borderId="17" xfId="0" applyFill="1" applyBorder="1" applyAlignment="1"/>
    <xf numFmtId="0" fontId="0" fillId="3" borderId="39" xfId="0" applyFill="1" applyBorder="1" applyAlignment="1"/>
    <xf numFmtId="0" fontId="21" fillId="3" borderId="0" xfId="0" applyFont="1" applyFill="1" applyBorder="1" applyAlignment="1">
      <alignment horizontal="left" indent="1"/>
    </xf>
    <xf numFmtId="0" fontId="0" fillId="5" borderId="2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165" fontId="18" fillId="0" borderId="29" xfId="0" applyNumberFormat="1" applyFont="1" applyFill="1" applyBorder="1" applyAlignment="1">
      <alignment horizontal="right"/>
    </xf>
    <xf numFmtId="165" fontId="18" fillId="0" borderId="7" xfId="0" applyNumberFormat="1" applyFont="1" applyFill="1" applyBorder="1" applyAlignment="1">
      <alignment horizontal="right"/>
    </xf>
    <xf numFmtId="167" fontId="18" fillId="0" borderId="16" xfId="0" applyNumberFormat="1" applyFont="1" applyFill="1" applyBorder="1" applyAlignment="1">
      <alignment horizontal="right"/>
    </xf>
    <xf numFmtId="167" fontId="18" fillId="0" borderId="10" xfId="0" applyNumberFormat="1" applyFont="1" applyFill="1" applyBorder="1" applyAlignment="1">
      <alignment horizontal="right"/>
    </xf>
    <xf numFmtId="167" fontId="18" fillId="0" borderId="19" xfId="0" applyNumberFormat="1" applyFont="1" applyFill="1" applyBorder="1" applyAlignment="1">
      <alignment horizontal="right"/>
    </xf>
    <xf numFmtId="0" fontId="21" fillId="0" borderId="19" xfId="0" applyFont="1" applyBorder="1" applyAlignment="1">
      <alignment horizontal="left"/>
    </xf>
    <xf numFmtId="0" fontId="21" fillId="0" borderId="16" xfId="0" applyFont="1" applyBorder="1" applyAlignment="1">
      <alignment horizontal="left"/>
    </xf>
    <xf numFmtId="0" fontId="21" fillId="0" borderId="22" xfId="0" applyFont="1" applyBorder="1" applyAlignment="1">
      <alignment horizontal="left"/>
    </xf>
    <xf numFmtId="0" fontId="21" fillId="0" borderId="20" xfId="0" applyFont="1" applyBorder="1" applyAlignment="1">
      <alignment horizontal="left"/>
    </xf>
    <xf numFmtId="0" fontId="18" fillId="0" borderId="0" xfId="0" applyFont="1" applyBorder="1" applyAlignment="1"/>
    <xf numFmtId="0" fontId="18" fillId="0" borderId="0" xfId="0" applyFont="1" applyBorder="1"/>
    <xf numFmtId="0" fontId="24" fillId="0" borderId="0" xfId="0" applyFont="1"/>
    <xf numFmtId="0" fontId="0" fillId="7" borderId="40" xfId="0" applyFill="1" applyBorder="1"/>
    <xf numFmtId="0" fontId="18" fillId="7" borderId="40" xfId="0" applyFont="1" applyFill="1" applyBorder="1" applyAlignment="1">
      <alignment horizontal="center"/>
    </xf>
    <xf numFmtId="0" fontId="13" fillId="8" borderId="15" xfId="0" applyFont="1" applyFill="1" applyBorder="1" applyAlignment="1">
      <alignment wrapText="1"/>
    </xf>
    <xf numFmtId="0" fontId="18" fillId="8" borderId="2" xfId="0" applyFont="1" applyFill="1" applyBorder="1" applyAlignment="1">
      <alignment wrapText="1"/>
    </xf>
    <xf numFmtId="0" fontId="18" fillId="8" borderId="13" xfId="0" applyFont="1" applyFill="1" applyBorder="1" applyAlignment="1">
      <alignment wrapText="1"/>
    </xf>
    <xf numFmtId="0" fontId="18" fillId="8" borderId="14" xfId="0" applyFont="1" applyFill="1" applyBorder="1" applyAlignment="1">
      <alignment wrapText="1"/>
    </xf>
    <xf numFmtId="0" fontId="18" fillId="8" borderId="0" xfId="0" applyFont="1" applyFill="1" applyBorder="1" applyAlignment="1">
      <alignment wrapText="1"/>
    </xf>
    <xf numFmtId="0" fontId="18" fillId="8" borderId="15" xfId="0" applyFont="1" applyFill="1" applyBorder="1" applyAlignment="1">
      <alignment wrapText="1"/>
    </xf>
    <xf numFmtId="0" fontId="18" fillId="8" borderId="13" xfId="0" applyFont="1" applyFill="1" applyBorder="1" applyAlignment="1">
      <alignment horizontal="center" wrapText="1"/>
    </xf>
    <xf numFmtId="0" fontId="18" fillId="8" borderId="34" xfId="0" applyFont="1" applyFill="1" applyBorder="1"/>
    <xf numFmtId="0" fontId="18" fillId="8" borderId="27" xfId="0" applyFont="1" applyFill="1" applyBorder="1"/>
    <xf numFmtId="49" fontId="16" fillId="9" borderId="3" xfId="2" applyFont="1" applyFill="1" applyBorder="1" applyAlignment="1"/>
    <xf numFmtId="0" fontId="11" fillId="0" borderId="0" xfId="0" applyFont="1" applyAlignment="1">
      <alignment horizontal="center"/>
    </xf>
    <xf numFmtId="6" fontId="21" fillId="0" borderId="35" xfId="1" applyNumberFormat="1" applyFont="1" applyBorder="1" applyAlignment="1">
      <alignment horizontal="right" indent="1"/>
    </xf>
    <xf numFmtId="0" fontId="21" fillId="0" borderId="35" xfId="0" applyFont="1" applyBorder="1" applyAlignment="1">
      <alignment horizontal="right" indent="1"/>
    </xf>
    <xf numFmtId="0" fontId="21" fillId="0" borderId="35" xfId="0" applyFont="1" applyFill="1" applyBorder="1" applyAlignment="1">
      <alignment horizontal="right" indent="1"/>
    </xf>
    <xf numFmtId="2" fontId="21" fillId="4" borderId="35" xfId="0" applyNumberFormat="1" applyFont="1" applyFill="1" applyBorder="1" applyAlignment="1">
      <alignment horizontal="right" indent="1"/>
    </xf>
    <xf numFmtId="0" fontId="21" fillId="0" borderId="36" xfId="0" applyFont="1" applyBorder="1" applyAlignment="1">
      <alignment horizontal="right" indent="1"/>
    </xf>
    <xf numFmtId="0" fontId="21" fillId="0" borderId="36" xfId="0" applyFont="1" applyFill="1" applyBorder="1" applyAlignment="1">
      <alignment horizontal="right" indent="1"/>
    </xf>
    <xf numFmtId="0" fontId="21" fillId="4" borderId="36" xfId="0" applyFont="1" applyFill="1" applyBorder="1" applyAlignment="1">
      <alignment horizontal="right" indent="1"/>
    </xf>
    <xf numFmtId="6" fontId="21" fillId="0" borderId="36" xfId="1" applyNumberFormat="1" applyFont="1" applyBorder="1" applyAlignment="1">
      <alignment horizontal="right" indent="1"/>
    </xf>
    <xf numFmtId="165" fontId="19" fillId="0" borderId="0" xfId="0" applyNumberFormat="1" applyFont="1" applyAlignment="1">
      <alignment horizontal="right" indent="1"/>
    </xf>
    <xf numFmtId="165" fontId="19" fillId="0" borderId="7" xfId="0" applyNumberFormat="1" applyFont="1" applyBorder="1" applyAlignment="1">
      <alignment horizontal="right" indent="1"/>
    </xf>
    <xf numFmtId="0" fontId="19" fillId="0" borderId="0" xfId="0" applyFont="1" applyAlignment="1">
      <alignment horizontal="right" indent="1"/>
    </xf>
    <xf numFmtId="2" fontId="19" fillId="4" borderId="8" xfId="0" applyNumberFormat="1" applyFont="1" applyFill="1" applyBorder="1" applyAlignment="1">
      <alignment horizontal="right" indent="1"/>
    </xf>
    <xf numFmtId="2" fontId="19" fillId="4" borderId="9" xfId="0" applyNumberFormat="1" applyFont="1" applyFill="1" applyBorder="1" applyAlignment="1">
      <alignment horizontal="right" indent="1"/>
    </xf>
    <xf numFmtId="0" fontId="19" fillId="0" borderId="7" xfId="0" applyFont="1" applyBorder="1" applyAlignment="1">
      <alignment horizontal="right" indent="1"/>
    </xf>
    <xf numFmtId="0" fontId="18" fillId="8" borderId="27" xfId="0" applyFont="1" applyFill="1" applyBorder="1" applyAlignment="1">
      <alignment horizontal="left" indent="1"/>
    </xf>
    <xf numFmtId="0" fontId="18" fillId="8" borderId="34" xfId="0" applyFont="1" applyFill="1" applyBorder="1" applyAlignment="1">
      <alignment horizontal="left" indent="1"/>
    </xf>
    <xf numFmtId="0" fontId="0" fillId="7" borderId="41" xfId="0" applyFill="1" applyBorder="1"/>
    <xf numFmtId="49" fontId="20" fillId="7" borderId="41" xfId="2" applyFont="1" applyFill="1" applyBorder="1" applyAlignment="1"/>
    <xf numFmtId="49" fontId="16" fillId="7" borderId="41" xfId="2" applyFont="1" applyFill="1" applyBorder="1" applyAlignment="1"/>
    <xf numFmtId="0" fontId="22" fillId="0" borderId="43" xfId="0" applyFont="1" applyBorder="1" applyAlignment="1">
      <alignment horizontal="left"/>
    </xf>
    <xf numFmtId="14" fontId="22" fillId="0" borderId="45" xfId="0" applyNumberFormat="1" applyFont="1" applyBorder="1" applyAlignment="1">
      <alignment horizontal="right"/>
    </xf>
    <xf numFmtId="0" fontId="22" fillId="0" borderId="44" xfId="0" applyFont="1" applyBorder="1" applyAlignment="1">
      <alignment horizontal="left"/>
    </xf>
    <xf numFmtId="0" fontId="19" fillId="0" borderId="28" xfId="0" applyFont="1" applyFill="1" applyBorder="1" applyAlignment="1">
      <alignment horizontal="right" indent="1"/>
    </xf>
    <xf numFmtId="0" fontId="19" fillId="0" borderId="26" xfId="0" applyFont="1" applyFill="1" applyBorder="1" applyAlignment="1">
      <alignment horizontal="right" indent="1"/>
    </xf>
    <xf numFmtId="0" fontId="19" fillId="0" borderId="26" xfId="0" applyFont="1" applyBorder="1" applyAlignment="1">
      <alignment horizontal="right" indent="1"/>
    </xf>
    <xf numFmtId="0" fontId="21" fillId="5" borderId="30" xfId="0" applyFont="1" applyFill="1" applyBorder="1" applyAlignment="1">
      <alignment horizontal="right" indent="1"/>
    </xf>
    <xf numFmtId="0" fontId="21" fillId="0" borderId="32" xfId="0" applyFont="1" applyBorder="1"/>
    <xf numFmtId="0" fontId="19" fillId="0" borderId="29" xfId="0" applyFont="1" applyFill="1" applyBorder="1" applyAlignment="1">
      <alignment horizontal="right" indent="1"/>
    </xf>
    <xf numFmtId="0" fontId="19" fillId="0" borderId="7" xfId="0" applyFont="1" applyFill="1" applyBorder="1" applyAlignment="1">
      <alignment horizontal="right" indent="1"/>
    </xf>
    <xf numFmtId="0" fontId="21" fillId="5" borderId="31" xfId="0" applyFont="1" applyFill="1" applyBorder="1" applyAlignment="1">
      <alignment horizontal="right" indent="1"/>
    </xf>
    <xf numFmtId="0" fontId="21" fillId="0" borderId="12" xfId="0" applyFont="1" applyBorder="1"/>
    <xf numFmtId="0" fontId="21" fillId="0" borderId="11" xfId="0" applyFont="1" applyBorder="1"/>
    <xf numFmtId="0" fontId="21" fillId="0" borderId="0" xfId="0" applyFont="1"/>
    <xf numFmtId="2" fontId="21" fillId="4" borderId="1" xfId="0" applyNumberFormat="1" applyFont="1" applyFill="1" applyBorder="1" applyAlignment="1">
      <alignment horizontal="right" indent="1"/>
    </xf>
    <xf numFmtId="0" fontId="21" fillId="0" borderId="0" xfId="0" applyFont="1" applyBorder="1"/>
    <xf numFmtId="0" fontId="21" fillId="0" borderId="12" xfId="0" applyFont="1" applyFill="1" applyBorder="1"/>
    <xf numFmtId="0" fontId="21" fillId="0" borderId="11" xfId="0" applyFont="1" applyFill="1" applyBorder="1"/>
    <xf numFmtId="2" fontId="21" fillId="4" borderId="1" xfId="0" applyNumberFormat="1" applyFont="1" applyFill="1" applyBorder="1"/>
    <xf numFmtId="0" fontId="21" fillId="5" borderId="33" xfId="0" applyFont="1" applyFill="1" applyBorder="1" applyAlignment="1">
      <alignment horizontal="right" indent="1"/>
    </xf>
    <xf numFmtId="0" fontId="21" fillId="0" borderId="10" xfId="0" applyFont="1" applyBorder="1"/>
    <xf numFmtId="0" fontId="21" fillId="0" borderId="17" xfId="0" applyFont="1" applyBorder="1"/>
    <xf numFmtId="0" fontId="21" fillId="2" borderId="11" xfId="0" applyFont="1" applyFill="1" applyBorder="1" applyAlignment="1">
      <alignment horizontal="right" indent="1"/>
    </xf>
    <xf numFmtId="167" fontId="21" fillId="5" borderId="33" xfId="0" applyNumberFormat="1" applyFont="1" applyFill="1" applyBorder="1" applyAlignment="1">
      <alignment horizontal="right" indent="1"/>
    </xf>
    <xf numFmtId="167" fontId="21" fillId="0" borderId="16" xfId="0" applyNumberFormat="1" applyFont="1" applyFill="1" applyBorder="1" applyAlignment="1">
      <alignment horizontal="right"/>
    </xf>
    <xf numFmtId="167" fontId="21" fillId="0" borderId="10" xfId="0" applyNumberFormat="1" applyFont="1" applyFill="1" applyBorder="1" applyAlignment="1">
      <alignment horizontal="right"/>
    </xf>
    <xf numFmtId="167" fontId="21" fillId="0" borderId="19" xfId="0" applyNumberFormat="1" applyFont="1" applyFill="1" applyBorder="1" applyAlignment="1">
      <alignment horizontal="right"/>
    </xf>
    <xf numFmtId="0" fontId="21" fillId="0" borderId="0" xfId="0" applyFont="1" applyFill="1"/>
    <xf numFmtId="49" fontId="23" fillId="7" borderId="42" xfId="2" applyFont="1" applyFill="1" applyBorder="1" applyAlignment="1"/>
    <xf numFmtId="0" fontId="18" fillId="7" borderId="42" xfId="0" applyFont="1" applyFill="1" applyBorder="1" applyAlignment="1">
      <alignment horizontal="left" wrapText="1" indent="1"/>
    </xf>
    <xf numFmtId="0" fontId="20" fillId="7" borderId="42" xfId="0" applyFont="1" applyFill="1" applyBorder="1" applyAlignment="1">
      <alignment horizontal="left"/>
    </xf>
    <xf numFmtId="0" fontId="20" fillId="7" borderId="42" xfId="0" applyFont="1" applyFill="1" applyBorder="1" applyAlignment="1">
      <alignment horizontal="center"/>
    </xf>
    <xf numFmtId="0" fontId="0" fillId="0" borderId="6" xfId="0" applyBorder="1" applyAlignment="1"/>
    <xf numFmtId="0" fontId="0" fillId="0" borderId="6" xfId="0" applyBorder="1"/>
    <xf numFmtId="0" fontId="0" fillId="0" borderId="0" xfId="0"/>
    <xf numFmtId="0" fontId="0" fillId="0" borderId="5" xfId="0" applyBorder="1"/>
    <xf numFmtId="2" fontId="7" fillId="4" borderId="0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right" vertical="center" wrapText="1"/>
    </xf>
    <xf numFmtId="0" fontId="6" fillId="0" borderId="0" xfId="0" applyFont="1" applyBorder="1" applyAlignment="1">
      <alignment horizontal="right" vertical="center" wrapText="1"/>
    </xf>
    <xf numFmtId="0" fontId="18" fillId="7" borderId="40" xfId="0" applyFont="1" applyFill="1" applyBorder="1" applyAlignment="1">
      <alignment horizontal="center"/>
    </xf>
    <xf numFmtId="0" fontId="21" fillId="0" borderId="22" xfId="0" applyFont="1" applyBorder="1" applyAlignment="1">
      <alignment horizontal="left"/>
    </xf>
    <xf numFmtId="0" fontId="21" fillId="0" borderId="18" xfId="0" applyFont="1" applyBorder="1" applyAlignment="1">
      <alignment horizontal="left"/>
    </xf>
    <xf numFmtId="0" fontId="21" fillId="0" borderId="20" xfId="0" applyFont="1" applyBorder="1" applyAlignment="1">
      <alignment horizontal="left"/>
    </xf>
    <xf numFmtId="0" fontId="21" fillId="0" borderId="19" xfId="0" applyFont="1" applyBorder="1" applyAlignment="1">
      <alignment horizontal="left"/>
    </xf>
    <xf numFmtId="0" fontId="21" fillId="0" borderId="16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18" fillId="7" borderId="41" xfId="0" applyFont="1" applyFill="1" applyBorder="1" applyAlignment="1">
      <alignment horizontal="left"/>
    </xf>
    <xf numFmtId="0" fontId="18" fillId="0" borderId="0" xfId="0" applyFont="1" applyBorder="1" applyAlignment="1"/>
    <xf numFmtId="0" fontId="18" fillId="0" borderId="0" xfId="0" applyFont="1" applyBorder="1"/>
    <xf numFmtId="0" fontId="22" fillId="0" borderId="45" xfId="0" applyFont="1" applyBorder="1" applyAlignment="1">
      <alignment horizontal="left"/>
    </xf>
    <xf numFmtId="0" fontId="22" fillId="0" borderId="44" xfId="0" applyFont="1" applyBorder="1" applyAlignment="1">
      <alignment horizontal="left"/>
    </xf>
    <xf numFmtId="0" fontId="22" fillId="0" borderId="42" xfId="0" applyFont="1" applyBorder="1" applyAlignment="1">
      <alignment horizontal="left"/>
    </xf>
    <xf numFmtId="0" fontId="21" fillId="0" borderId="43" xfId="0" applyFont="1" applyBorder="1" applyAlignment="1">
      <alignment horizontal="left"/>
    </xf>
    <xf numFmtId="49" fontId="16" fillId="6" borderId="46" xfId="2" applyFont="1" applyFill="1" applyBorder="1" applyAlignment="1"/>
    <xf numFmtId="49" fontId="16" fillId="9" borderId="46" xfId="2" applyFont="1" applyFill="1" applyBorder="1" applyAlignment="1"/>
  </cellXfs>
  <cellStyles count="3">
    <cellStyle name="Currency" xfId="1" builtinId="4"/>
    <cellStyle name="Normal" xfId="0" builtinId="0"/>
    <cellStyle name="Style 1" xfId="2"/>
  </cellStyles>
  <dxfs count="17">
    <dxf>
      <font>
        <b/>
        <i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right style="thin">
          <color auto="1"/>
        </right>
      </border>
    </dxf>
    <dxf>
      <fill>
        <patternFill patternType="solid">
          <fgColor indexed="64"/>
          <bgColor theme="0"/>
        </patternFill>
      </fill>
      <alignment horizontal="right" vertical="bottom" textRotation="0" wrapText="0" indent="1" relativeIndent="0" justifyLastLine="0" shrinkToFit="0" mergeCell="0" readingOrder="0"/>
      <border diagonalUp="0" diagonalDown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hair">
          <color rgb="FF969696"/>
        </left>
        <right style="hair">
          <color rgb="FF969696"/>
        </right>
        <top/>
        <bottom/>
      </border>
    </dxf>
    <dxf>
      <fill>
        <patternFill patternType="solid">
          <fgColor indexed="64"/>
          <bgColor theme="0"/>
        </patternFill>
      </fill>
      <alignment horizontal="right" vertical="bottom" textRotation="0" wrapText="0" indent="1" relativeIndent="0" justifyLastLine="0" shrinkToFit="0" mergeCell="0" readingOrder="0"/>
      <border diagonalUp="0" diagonalDown="0">
        <left style="thin">
          <color auto="1"/>
        </left>
        <right/>
        <top/>
        <bottom/>
      </border>
    </dxf>
    <dxf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hair">
          <color rgb="FF969696"/>
        </left>
        <right style="hair">
          <color rgb="FF969696"/>
        </right>
        <top/>
        <bottom/>
      </border>
    </dxf>
    <dxf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 style="hair">
          <color rgb="FF969696"/>
        </right>
        <top/>
        <bottom/>
      </border>
    </dxf>
    <dxf>
      <font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1" relativeIndent="1" justifyLastLine="0" shrinkToFit="0" mergeCell="0" readingOrder="0"/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general" vertical="bottom" textRotation="0" wrapText="0" indent="0" relativeIndent="0" justifyLastLine="0" shrinkToFit="0" mergeCell="0" readingOrder="0"/>
    </dxf>
    <dxf>
      <font>
        <b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/>
        </patternFill>
      </fill>
      <alignment horizontal="general" vertical="bottom" textRotation="0" wrapText="1" indent="0" relativeIndent="0" justifyLastLine="0" shrinkToFit="0" mergeCell="0" readingOrder="0"/>
    </dxf>
    <dxf>
      <font>
        <b/>
        <i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FF"/>
      <color rgb="FFA1BADC"/>
      <color rgb="FFAED4B4"/>
      <color rgb="FFD8D8D8"/>
      <color rgb="FFE0E9F4"/>
      <color rgb="FF3E6F96"/>
      <color rgb="FF969696"/>
      <color rgb="FFE9F1F5"/>
      <color rgb="FFCFDCED"/>
      <color rgb="FF648DC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Annual </a:t>
            </a:r>
            <a:r>
              <a:rPr lang="en-US" smtClean="0"/>
              <a:t>Spend ($)</a:t>
            </a:r>
            <a:endParaRPr lang="en-US"/>
          </a:p>
        </c:rich>
      </c:tx>
      <c:layout/>
    </c:title>
    <c:view3D>
      <c:rotX val="30"/>
      <c:perspective val="30"/>
    </c:view3D>
    <c:plotArea>
      <c:layout/>
      <c:pie3DChart>
        <c:varyColors val="1"/>
        <c:ser>
          <c:idx val="0"/>
          <c:order val="0"/>
          <c:explosion val="25"/>
          <c:cat>
            <c:strRef>
              <c:f>'Industry Summary'!$B$9:$F$9</c:f>
              <c:strCache>
                <c:ptCount val="5"/>
                <c:pt idx="0">
                  <c:v>VENDOR BEING
EVALUATED</c:v>
                </c:pt>
                <c:pt idx="1">
                  <c:v>VENDOR 2</c:v>
                </c:pt>
                <c:pt idx="2">
                  <c:v>VENDOR 3</c:v>
                </c:pt>
                <c:pt idx="3">
                  <c:v>VENDOR 4</c:v>
                </c:pt>
                <c:pt idx="4">
                  <c:v>VENDOR 5</c:v>
                </c:pt>
              </c:strCache>
            </c:strRef>
          </c:cat>
          <c:val>
            <c:numRef>
              <c:f>'Industry Summary'!$B$10:$F$10</c:f>
              <c:numCache>
                <c:formatCode>"$"#,##0_);[Red]\("$"#,##0\)</c:formatCode>
                <c:ptCount val="5"/>
                <c:pt idx="0">
                  <c:v>560500</c:v>
                </c:pt>
                <c:pt idx="1">
                  <c:v>29823</c:v>
                </c:pt>
                <c:pt idx="2">
                  <c:v>1224220</c:v>
                </c:pt>
                <c:pt idx="3">
                  <c:v>15502</c:v>
                </c:pt>
                <c:pt idx="4">
                  <c:v>43421</c:v>
                </c:pt>
              </c:numCache>
            </c:numRef>
          </c:val>
        </c:ser>
      </c:pie3DChart>
    </c:plotArea>
    <c:legend>
      <c:legendPos val="r"/>
      <c:layout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 paperSize="0" orientation="landscape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Vendor Being Evaluated</a:t>
            </a:r>
          </a:p>
        </c:rich>
      </c:tx>
      <c:layout>
        <c:manualLayout>
          <c:xMode val="edge"/>
          <c:yMode val="edge"/>
          <c:x val="0.27105543710021335"/>
          <c:y val="0"/>
        </c:manualLayout>
      </c:layout>
    </c:title>
    <c:plotArea>
      <c:layout/>
      <c:lineChart>
        <c:grouping val="standard"/>
        <c:ser>
          <c:idx val="0"/>
          <c:order val="0"/>
          <c:tx>
            <c:strRef>
              <c:f>'Industry Summary'!$A$79</c:f>
              <c:strCache>
                <c:ptCount val="1"/>
                <c:pt idx="0">
                  <c:v>Quality</c:v>
                </c:pt>
              </c:strCache>
            </c:strRef>
          </c:tx>
          <c:cat>
            <c:numRef>
              <c:f>'Industry Summary'!$B$78:$D$78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Summary'!$B$79:$D$79</c:f>
              <c:numCache>
                <c:formatCode>0.0</c:formatCode>
                <c:ptCount val="3"/>
                <c:pt idx="0">
                  <c:v>3.2</c:v>
                </c:pt>
                <c:pt idx="1">
                  <c:v>3.2</c:v>
                </c:pt>
                <c:pt idx="2" formatCode="General">
                  <c:v>3.4</c:v>
                </c:pt>
              </c:numCache>
            </c:numRef>
          </c:val>
        </c:ser>
        <c:ser>
          <c:idx val="1"/>
          <c:order val="1"/>
          <c:tx>
            <c:strRef>
              <c:f>'Industry Summary'!$A$80</c:f>
              <c:strCache>
                <c:ptCount val="1"/>
                <c:pt idx="0">
                  <c:v>Delivery</c:v>
                </c:pt>
              </c:strCache>
            </c:strRef>
          </c:tx>
          <c:cat>
            <c:numRef>
              <c:f>'Industry Summary'!$B$78:$D$78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Summary'!$B$80:$D$80</c:f>
              <c:numCache>
                <c:formatCode>0.0</c:formatCode>
                <c:ptCount val="3"/>
                <c:pt idx="0">
                  <c:v>2.2999999999999998</c:v>
                </c:pt>
                <c:pt idx="1">
                  <c:v>3.2</c:v>
                </c:pt>
                <c:pt idx="2" formatCode="General">
                  <c:v>4.5</c:v>
                </c:pt>
              </c:numCache>
            </c:numRef>
          </c:val>
        </c:ser>
        <c:ser>
          <c:idx val="2"/>
          <c:order val="2"/>
          <c:tx>
            <c:strRef>
              <c:f>'Industry Summary'!$A$81</c:f>
              <c:strCache>
                <c:ptCount val="1"/>
                <c:pt idx="0">
                  <c:v>Total Cost</c:v>
                </c:pt>
              </c:strCache>
            </c:strRef>
          </c:tx>
          <c:cat>
            <c:numRef>
              <c:f>'Industry Summary'!$B$78:$D$78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Summary'!$B$81:$D$81</c:f>
              <c:numCache>
                <c:formatCode>0.0</c:formatCode>
                <c:ptCount val="3"/>
                <c:pt idx="0">
                  <c:v>3.4</c:v>
                </c:pt>
                <c:pt idx="1">
                  <c:v>2.2999999999999998</c:v>
                </c:pt>
                <c:pt idx="2" formatCode="General">
                  <c:v>2.2000000000000002</c:v>
                </c:pt>
              </c:numCache>
            </c:numRef>
          </c:val>
        </c:ser>
        <c:ser>
          <c:idx val="3"/>
          <c:order val="3"/>
          <c:tx>
            <c:strRef>
              <c:f>'Industry Summary'!$A$82</c:f>
              <c:strCache>
                <c:ptCount val="1"/>
                <c:pt idx="0">
                  <c:v>Service</c:v>
                </c:pt>
              </c:strCache>
            </c:strRef>
          </c:tx>
          <c:cat>
            <c:numRef>
              <c:f>'Industry Summary'!$B$78:$D$78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Summary'!$B$82:$D$82</c:f>
              <c:numCache>
                <c:formatCode>0.0</c:formatCode>
                <c:ptCount val="3"/>
                <c:pt idx="0">
                  <c:v>4.2</c:v>
                </c:pt>
                <c:pt idx="1">
                  <c:v>3.4</c:v>
                </c:pt>
                <c:pt idx="2" formatCode="General">
                  <c:v>4.2</c:v>
                </c:pt>
              </c:numCache>
            </c:numRef>
          </c:val>
        </c:ser>
        <c:ser>
          <c:idx val="4"/>
          <c:order val="4"/>
          <c:tx>
            <c:strRef>
              <c:f>'Industry Summary'!$A$83</c:f>
              <c:strCache>
                <c:ptCount val="1"/>
                <c:pt idx="0">
                  <c:v>Organizational Health</c:v>
                </c:pt>
              </c:strCache>
            </c:strRef>
          </c:tx>
          <c:cat>
            <c:numRef>
              <c:f>'Industry Summary'!$B$78:$D$78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Summary'!$B$83:$D$83</c:f>
              <c:numCache>
                <c:formatCode>0.0</c:formatCode>
                <c:ptCount val="3"/>
                <c:pt idx="0">
                  <c:v>4.5</c:v>
                </c:pt>
                <c:pt idx="1">
                  <c:v>4.5</c:v>
                </c:pt>
                <c:pt idx="2" formatCode="General">
                  <c:v>4.5</c:v>
                </c:pt>
              </c:numCache>
            </c:numRef>
          </c:val>
        </c:ser>
        <c:ser>
          <c:idx val="5"/>
          <c:order val="5"/>
          <c:tx>
            <c:strRef>
              <c:f>'Industry Summary'!$A$84</c:f>
              <c:strCache>
                <c:ptCount val="1"/>
                <c:pt idx="0">
                  <c:v>Other</c:v>
                </c:pt>
              </c:strCache>
            </c:strRef>
          </c:tx>
          <c:cat>
            <c:numRef>
              <c:f>'Industry Summary'!$B$78:$D$78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Summary'!$B$84:$D$84</c:f>
              <c:numCache>
                <c:formatCode>0.0</c:formatCode>
                <c:ptCount val="3"/>
                <c:pt idx="0">
                  <c:v>2.2000000000000002</c:v>
                </c:pt>
                <c:pt idx="1">
                  <c:v>2.2000000000000002</c:v>
                </c:pt>
                <c:pt idx="2" formatCode="General">
                  <c:v>2.2000000000000002</c:v>
                </c:pt>
              </c:numCache>
            </c:numRef>
          </c:val>
        </c:ser>
        <c:ser>
          <c:idx val="6"/>
          <c:order val="6"/>
          <c:tx>
            <c:strRef>
              <c:f>'Industry Summary'!$A$85</c:f>
              <c:strCache>
                <c:ptCount val="1"/>
                <c:pt idx="0">
                  <c:v>Total Score</c:v>
                </c:pt>
              </c:strCache>
            </c:strRef>
          </c:tx>
          <c:cat>
            <c:numRef>
              <c:f>'Industry Summary'!$B$78:$D$78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Summary'!$B$85:$D$85</c:f>
              <c:numCache>
                <c:formatCode>0.00</c:formatCode>
                <c:ptCount val="3"/>
                <c:pt idx="0">
                  <c:v>3.3000000000000003</c:v>
                </c:pt>
                <c:pt idx="1">
                  <c:v>3.1333333333333333</c:v>
                </c:pt>
                <c:pt idx="2">
                  <c:v>3.5</c:v>
                </c:pt>
              </c:numCache>
            </c:numRef>
          </c:val>
        </c:ser>
        <c:marker val="1"/>
        <c:axId val="68199552"/>
        <c:axId val="68308992"/>
      </c:lineChart>
      <c:catAx>
        <c:axId val="68199552"/>
        <c:scaling>
          <c:orientation val="minMax"/>
        </c:scaling>
        <c:axPos val="b"/>
        <c:numFmt formatCode="General" sourceLinked="1"/>
        <c:majorTickMark val="none"/>
        <c:tickLblPos val="nextTo"/>
        <c:crossAx val="68308992"/>
        <c:crosses val="autoZero"/>
        <c:auto val="1"/>
        <c:lblAlgn val="ctr"/>
        <c:lblOffset val="100"/>
      </c:catAx>
      <c:valAx>
        <c:axId val="68308992"/>
        <c:scaling>
          <c:orientation val="minMax"/>
        </c:scaling>
        <c:axPos val="l"/>
        <c:majorGridlines/>
        <c:title>
          <c:layout/>
        </c:title>
        <c:numFmt formatCode="0.0" sourceLinked="1"/>
        <c:majorTickMark val="none"/>
        <c:tickLblPos val="nextTo"/>
        <c:crossAx val="68199552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322" l="0.70000000000000062" r="0.70000000000000062" t="0.75000000000000322" header="0.30000000000000032" footer="0.30000000000000032"/>
    <c:pageSetup paperSize="0" orientation="landscape" horizontalDpi="300" verticalDpi="30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Vendor 2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4.4642857142857116E-2"/>
          <c:y val="0.11896431726191027"/>
          <c:w val="0.59523809523809523"/>
          <c:h val="0.76533710771828622"/>
        </c:manualLayout>
      </c:layout>
      <c:lineChart>
        <c:grouping val="standard"/>
        <c:ser>
          <c:idx val="0"/>
          <c:order val="0"/>
          <c:tx>
            <c:strRef>
              <c:f>'Industry Summary'!$A$88</c:f>
              <c:strCache>
                <c:ptCount val="1"/>
                <c:pt idx="0">
                  <c:v>Quality</c:v>
                </c:pt>
              </c:strCache>
            </c:strRef>
          </c:tx>
          <c:marker>
            <c:symbol val="none"/>
          </c:marker>
          <c:cat>
            <c:numRef>
              <c:f>'Industry Summary'!$B$87:$D$87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Summary'!$B$88:$D$88</c:f>
              <c:numCache>
                <c:formatCode>General</c:formatCode>
                <c:ptCount val="3"/>
                <c:pt idx="0">
                  <c:v>3.2</c:v>
                </c:pt>
                <c:pt idx="1">
                  <c:v>3.2</c:v>
                </c:pt>
                <c:pt idx="2">
                  <c:v>2.2999999999999998</c:v>
                </c:pt>
              </c:numCache>
            </c:numRef>
          </c:val>
        </c:ser>
        <c:ser>
          <c:idx val="1"/>
          <c:order val="1"/>
          <c:tx>
            <c:strRef>
              <c:f>'Industry Summary'!$A$89</c:f>
              <c:strCache>
                <c:ptCount val="1"/>
                <c:pt idx="0">
                  <c:v>Delivery</c:v>
                </c:pt>
              </c:strCache>
            </c:strRef>
          </c:tx>
          <c:marker>
            <c:symbol val="none"/>
          </c:marker>
          <c:cat>
            <c:numRef>
              <c:f>'Industry Summary'!$B$87:$D$87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Summary'!$B$89:$D$89</c:f>
              <c:numCache>
                <c:formatCode>General</c:formatCode>
                <c:ptCount val="3"/>
                <c:pt idx="0">
                  <c:v>2.2999999999999998</c:v>
                </c:pt>
                <c:pt idx="1">
                  <c:v>3.2</c:v>
                </c:pt>
                <c:pt idx="2">
                  <c:v>2.2999999999999998</c:v>
                </c:pt>
              </c:numCache>
            </c:numRef>
          </c:val>
        </c:ser>
        <c:ser>
          <c:idx val="2"/>
          <c:order val="2"/>
          <c:tx>
            <c:strRef>
              <c:f>'Industry Summary'!$A$90</c:f>
              <c:strCache>
                <c:ptCount val="1"/>
                <c:pt idx="0">
                  <c:v>Total Cost</c:v>
                </c:pt>
              </c:strCache>
            </c:strRef>
          </c:tx>
          <c:marker>
            <c:symbol val="none"/>
          </c:marker>
          <c:cat>
            <c:numRef>
              <c:f>'Industry Summary'!$B$87:$D$87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Summary'!$B$90:$D$90</c:f>
              <c:numCache>
                <c:formatCode>General</c:formatCode>
                <c:ptCount val="3"/>
                <c:pt idx="0">
                  <c:v>3.4</c:v>
                </c:pt>
                <c:pt idx="1">
                  <c:v>2.2999999999999998</c:v>
                </c:pt>
                <c:pt idx="2">
                  <c:v>3.4</c:v>
                </c:pt>
              </c:numCache>
            </c:numRef>
          </c:val>
        </c:ser>
        <c:ser>
          <c:idx val="3"/>
          <c:order val="3"/>
          <c:tx>
            <c:strRef>
              <c:f>'Industry Summary'!$A$91</c:f>
              <c:strCache>
                <c:ptCount val="1"/>
                <c:pt idx="0">
                  <c:v>Service</c:v>
                </c:pt>
              </c:strCache>
            </c:strRef>
          </c:tx>
          <c:cat>
            <c:numRef>
              <c:f>'Industry Summary'!$B$87:$D$87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Summary'!$B$91:$D$91</c:f>
              <c:numCache>
                <c:formatCode>General</c:formatCode>
                <c:ptCount val="3"/>
                <c:pt idx="0">
                  <c:v>3.2</c:v>
                </c:pt>
                <c:pt idx="1">
                  <c:v>3.4</c:v>
                </c:pt>
                <c:pt idx="2">
                  <c:v>3.2</c:v>
                </c:pt>
              </c:numCache>
            </c:numRef>
          </c:val>
        </c:ser>
        <c:ser>
          <c:idx val="4"/>
          <c:order val="4"/>
          <c:tx>
            <c:strRef>
              <c:f>'Industry Summary'!$A$92</c:f>
              <c:strCache>
                <c:ptCount val="1"/>
                <c:pt idx="0">
                  <c:v>Organizational Health</c:v>
                </c:pt>
              </c:strCache>
            </c:strRef>
          </c:tx>
          <c:cat>
            <c:numRef>
              <c:f>'Industry Summary'!$B$87:$D$87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Summary'!$B$92:$D$92</c:f>
              <c:numCache>
                <c:formatCode>General</c:formatCode>
                <c:ptCount val="3"/>
                <c:pt idx="0">
                  <c:v>3.2</c:v>
                </c:pt>
                <c:pt idx="1">
                  <c:v>4.5</c:v>
                </c:pt>
                <c:pt idx="2">
                  <c:v>3.2</c:v>
                </c:pt>
              </c:numCache>
            </c:numRef>
          </c:val>
        </c:ser>
        <c:ser>
          <c:idx val="5"/>
          <c:order val="5"/>
          <c:tx>
            <c:strRef>
              <c:f>'Industry Summary'!$A$93</c:f>
              <c:strCache>
                <c:ptCount val="1"/>
                <c:pt idx="0">
                  <c:v>Other</c:v>
                </c:pt>
              </c:strCache>
            </c:strRef>
          </c:tx>
          <c:cat>
            <c:numRef>
              <c:f>'Industry Summary'!$B$87:$D$87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Summary'!$B$93:$D$93</c:f>
              <c:numCache>
                <c:formatCode>General</c:formatCode>
                <c:ptCount val="3"/>
                <c:pt idx="0">
                  <c:v>2.2999999999999998</c:v>
                </c:pt>
                <c:pt idx="1">
                  <c:v>2.2000000000000002</c:v>
                </c:pt>
                <c:pt idx="2">
                  <c:v>2.2000000000000002</c:v>
                </c:pt>
              </c:numCache>
            </c:numRef>
          </c:val>
        </c:ser>
        <c:ser>
          <c:idx val="6"/>
          <c:order val="6"/>
          <c:tx>
            <c:strRef>
              <c:f>'Industry Summary'!$A$94</c:f>
              <c:strCache>
                <c:ptCount val="1"/>
                <c:pt idx="0">
                  <c:v>Total Score</c:v>
                </c:pt>
              </c:strCache>
            </c:strRef>
          </c:tx>
          <c:cat>
            <c:numRef>
              <c:f>'Industry Summary'!$B$87:$D$87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Summary'!$B$94:$D$94</c:f>
              <c:numCache>
                <c:formatCode>0.00</c:formatCode>
                <c:ptCount val="3"/>
                <c:pt idx="0">
                  <c:v>2.9333333333333336</c:v>
                </c:pt>
                <c:pt idx="1">
                  <c:v>3.1333333333333333</c:v>
                </c:pt>
                <c:pt idx="2">
                  <c:v>2.7666666666666662</c:v>
                </c:pt>
              </c:numCache>
            </c:numRef>
          </c:val>
        </c:ser>
        <c:marker val="1"/>
        <c:axId val="67574016"/>
        <c:axId val="67588096"/>
      </c:lineChart>
      <c:catAx>
        <c:axId val="67574016"/>
        <c:scaling>
          <c:orientation val="minMax"/>
        </c:scaling>
        <c:axPos val="b"/>
        <c:numFmt formatCode="General" sourceLinked="1"/>
        <c:tickLblPos val="nextTo"/>
        <c:crossAx val="67588096"/>
        <c:crosses val="autoZero"/>
        <c:auto val="1"/>
        <c:lblAlgn val="ctr"/>
        <c:lblOffset val="100"/>
      </c:catAx>
      <c:valAx>
        <c:axId val="67588096"/>
        <c:scaling>
          <c:orientation val="minMax"/>
        </c:scaling>
        <c:axPos val="l"/>
        <c:majorGridlines/>
        <c:numFmt formatCode="General" sourceLinked="1"/>
        <c:tickLblPos val="nextTo"/>
        <c:crossAx val="67574016"/>
        <c:crosses val="autoZero"/>
        <c:crossBetween val="between"/>
      </c:valAx>
      <c:spPr>
        <a:solidFill>
          <a:schemeClr val="accent2">
            <a:tint val="20000"/>
          </a:schemeClr>
        </a:solidFill>
        <a:effectLst/>
        <a:scene3d>
          <a:camera prst="orthographicFront"/>
          <a:lightRig rig="threePt" dir="t"/>
        </a:scene3d>
        <a:sp3d prstMaterial="matte"/>
      </c:spPr>
    </c:plotArea>
    <c:legend>
      <c:legendPos val="r"/>
      <c:layout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Vendor 3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5.1022628372497825E-2"/>
          <c:y val="0.12671394799054375"/>
          <c:w val="0.64516129032258462"/>
          <c:h val="0.76350877192982469"/>
        </c:manualLayout>
      </c:layout>
      <c:lineChart>
        <c:grouping val="standard"/>
        <c:ser>
          <c:idx val="0"/>
          <c:order val="0"/>
          <c:tx>
            <c:strRef>
              <c:f>'Industry Summary'!$A$97</c:f>
              <c:strCache>
                <c:ptCount val="1"/>
                <c:pt idx="0">
                  <c:v>Quality</c:v>
                </c:pt>
              </c:strCache>
            </c:strRef>
          </c:tx>
          <c:marker>
            <c:symbol val="none"/>
          </c:marker>
          <c:cat>
            <c:numRef>
              <c:f>'Industry Summary'!$B$96:$D$96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Summary'!$B$97:$D$97</c:f>
              <c:numCache>
                <c:formatCode>General</c:formatCode>
                <c:ptCount val="3"/>
                <c:pt idx="0">
                  <c:v>3.4</c:v>
                </c:pt>
                <c:pt idx="1">
                  <c:v>2.2999999999999998</c:v>
                </c:pt>
                <c:pt idx="2">
                  <c:v>2.2999999999999998</c:v>
                </c:pt>
              </c:numCache>
            </c:numRef>
          </c:val>
        </c:ser>
        <c:ser>
          <c:idx val="1"/>
          <c:order val="1"/>
          <c:tx>
            <c:strRef>
              <c:f>'Industry Summary'!$A$98</c:f>
              <c:strCache>
                <c:ptCount val="1"/>
                <c:pt idx="0">
                  <c:v>Delivery</c:v>
                </c:pt>
              </c:strCache>
            </c:strRef>
          </c:tx>
          <c:marker>
            <c:symbol val="none"/>
          </c:marker>
          <c:cat>
            <c:numRef>
              <c:f>'Industry Summary'!$B$96:$D$96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Summary'!$B$98:$D$98</c:f>
              <c:numCache>
                <c:formatCode>General</c:formatCode>
                <c:ptCount val="3"/>
                <c:pt idx="0">
                  <c:v>4.2</c:v>
                </c:pt>
                <c:pt idx="1">
                  <c:v>3.4</c:v>
                </c:pt>
                <c:pt idx="2">
                  <c:v>3.4</c:v>
                </c:pt>
              </c:numCache>
            </c:numRef>
          </c:val>
        </c:ser>
        <c:ser>
          <c:idx val="2"/>
          <c:order val="2"/>
          <c:tx>
            <c:strRef>
              <c:f>'Industry Summary'!$A$99</c:f>
              <c:strCache>
                <c:ptCount val="1"/>
                <c:pt idx="0">
                  <c:v>Total Cost</c:v>
                </c:pt>
              </c:strCache>
            </c:strRef>
          </c:tx>
          <c:marker>
            <c:symbol val="none"/>
          </c:marker>
          <c:cat>
            <c:numRef>
              <c:f>'Industry Summary'!$B$96:$D$96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Summary'!$B$99:$D$99</c:f>
              <c:numCache>
                <c:formatCode>General</c:formatCode>
                <c:ptCount val="3"/>
                <c:pt idx="0">
                  <c:v>4.5</c:v>
                </c:pt>
                <c:pt idx="1">
                  <c:v>3.2</c:v>
                </c:pt>
                <c:pt idx="2">
                  <c:v>4.2</c:v>
                </c:pt>
              </c:numCache>
            </c:numRef>
          </c:val>
        </c:ser>
        <c:ser>
          <c:idx val="3"/>
          <c:order val="3"/>
          <c:tx>
            <c:strRef>
              <c:f>'Industry Summary'!$A$100</c:f>
              <c:strCache>
                <c:ptCount val="1"/>
                <c:pt idx="0">
                  <c:v>Service</c:v>
                </c:pt>
              </c:strCache>
            </c:strRef>
          </c:tx>
          <c:cat>
            <c:numRef>
              <c:f>'Industry Summary'!$B$96:$D$96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Summary'!$B$100:$D$100</c:f>
              <c:numCache>
                <c:formatCode>General</c:formatCode>
                <c:ptCount val="3"/>
                <c:pt idx="0">
                  <c:v>4.2</c:v>
                </c:pt>
                <c:pt idx="1">
                  <c:v>3.2</c:v>
                </c:pt>
                <c:pt idx="2">
                  <c:v>4.5</c:v>
                </c:pt>
              </c:numCache>
            </c:numRef>
          </c:val>
        </c:ser>
        <c:ser>
          <c:idx val="4"/>
          <c:order val="4"/>
          <c:tx>
            <c:strRef>
              <c:f>'Industry Summary'!$A$101</c:f>
              <c:strCache>
                <c:ptCount val="1"/>
                <c:pt idx="0">
                  <c:v>Organizational Health</c:v>
                </c:pt>
              </c:strCache>
            </c:strRef>
          </c:tx>
          <c:cat>
            <c:numRef>
              <c:f>'Industry Summary'!$B$96:$D$96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Summary'!$B$101:$D$101</c:f>
              <c:numCache>
                <c:formatCode>General</c:formatCode>
                <c:ptCount val="3"/>
                <c:pt idx="0">
                  <c:v>4.5</c:v>
                </c:pt>
                <c:pt idx="1">
                  <c:v>2.2999999999999998</c:v>
                </c:pt>
                <c:pt idx="2">
                  <c:v>4.5</c:v>
                </c:pt>
              </c:numCache>
            </c:numRef>
          </c:val>
        </c:ser>
        <c:ser>
          <c:idx val="5"/>
          <c:order val="5"/>
          <c:tx>
            <c:strRef>
              <c:f>'Industry Summary'!$A$102</c:f>
              <c:strCache>
                <c:ptCount val="1"/>
                <c:pt idx="0">
                  <c:v>Other</c:v>
                </c:pt>
              </c:strCache>
            </c:strRef>
          </c:tx>
          <c:cat>
            <c:numRef>
              <c:f>'Industry Summary'!$B$96:$D$96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Summary'!$B$102:$D$102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</c:numCache>
            </c:numRef>
          </c:val>
        </c:ser>
        <c:ser>
          <c:idx val="6"/>
          <c:order val="6"/>
          <c:tx>
            <c:strRef>
              <c:f>'Industry Summary'!$A$103</c:f>
              <c:strCache>
                <c:ptCount val="1"/>
                <c:pt idx="0">
                  <c:v>Total Score</c:v>
                </c:pt>
              </c:strCache>
            </c:strRef>
          </c:tx>
          <c:cat>
            <c:numRef>
              <c:f>'Industry Summary'!$B$96:$D$96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Summary'!$B$103:$D$103</c:f>
              <c:numCache>
                <c:formatCode>0.00</c:formatCode>
                <c:ptCount val="3"/>
                <c:pt idx="0">
                  <c:v>3.8333333333333335</c:v>
                </c:pt>
                <c:pt idx="1">
                  <c:v>2.7666666666666662</c:v>
                </c:pt>
                <c:pt idx="2">
                  <c:v>3.5166666666666662</c:v>
                </c:pt>
              </c:numCache>
            </c:numRef>
          </c:val>
        </c:ser>
        <c:marker val="1"/>
        <c:axId val="67645824"/>
        <c:axId val="67647360"/>
      </c:lineChart>
      <c:catAx>
        <c:axId val="67645824"/>
        <c:scaling>
          <c:orientation val="minMax"/>
        </c:scaling>
        <c:axPos val="b"/>
        <c:numFmt formatCode="General" sourceLinked="1"/>
        <c:tickLblPos val="nextTo"/>
        <c:crossAx val="67647360"/>
        <c:crosses val="autoZero"/>
        <c:auto val="1"/>
        <c:lblAlgn val="ctr"/>
        <c:lblOffset val="100"/>
      </c:catAx>
      <c:valAx>
        <c:axId val="67647360"/>
        <c:scaling>
          <c:orientation val="minMax"/>
        </c:scaling>
        <c:axPos val="l"/>
        <c:majorGridlines/>
        <c:numFmt formatCode="General" sourceLinked="1"/>
        <c:tickLblPos val="nextTo"/>
        <c:crossAx val="67645824"/>
        <c:crosses val="autoZero"/>
        <c:crossBetween val="between"/>
      </c:valAx>
      <c:spPr>
        <a:solidFill>
          <a:schemeClr val="accent3">
            <a:tint val="20000"/>
          </a:schemeClr>
        </a:solidFill>
      </c:spPr>
    </c:plotArea>
    <c:legend>
      <c:legendPos val="r"/>
      <c:layout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 paperSize="0" orientation="landscape" horizontalDpi="0" verticalDpi="0" copies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Vendor 4</a:t>
            </a:r>
          </a:p>
        </c:rich>
      </c:tx>
      <c:layout>
        <c:manualLayout>
          <c:xMode val="edge"/>
          <c:yMode val="edge"/>
          <c:x val="0.41105769230769323"/>
          <c:y val="7.6271186440677865E-3"/>
        </c:manualLayout>
      </c:layout>
    </c:title>
    <c:plotArea>
      <c:layout/>
      <c:lineChart>
        <c:grouping val="standard"/>
        <c:ser>
          <c:idx val="0"/>
          <c:order val="0"/>
          <c:tx>
            <c:strRef>
              <c:f>'Industry Summary'!$A$106</c:f>
              <c:strCache>
                <c:ptCount val="1"/>
                <c:pt idx="0">
                  <c:v>Quality</c:v>
                </c:pt>
              </c:strCache>
            </c:strRef>
          </c:tx>
          <c:marker>
            <c:symbol val="none"/>
          </c:marker>
          <c:cat>
            <c:numRef>
              <c:f>'Industry Summary'!$B$105:$D$105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Summary'!$B$106:$D$106</c:f>
              <c:numCache>
                <c:formatCode>General</c:formatCode>
                <c:ptCount val="3"/>
                <c:pt idx="0">
                  <c:v>3.4</c:v>
                </c:pt>
                <c:pt idx="1">
                  <c:v>3.2</c:v>
                </c:pt>
                <c:pt idx="2">
                  <c:v>2.2999999999999998</c:v>
                </c:pt>
              </c:numCache>
            </c:numRef>
          </c:val>
        </c:ser>
        <c:ser>
          <c:idx val="1"/>
          <c:order val="1"/>
          <c:tx>
            <c:strRef>
              <c:f>'Industry Summary'!$A$107</c:f>
              <c:strCache>
                <c:ptCount val="1"/>
                <c:pt idx="0">
                  <c:v>Delivery</c:v>
                </c:pt>
              </c:strCache>
            </c:strRef>
          </c:tx>
          <c:marker>
            <c:symbol val="none"/>
          </c:marker>
          <c:cat>
            <c:numRef>
              <c:f>'Industry Summary'!$B$105:$D$105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Summary'!$B$107:$D$107</c:f>
              <c:numCache>
                <c:formatCode>General</c:formatCode>
                <c:ptCount val="3"/>
                <c:pt idx="0">
                  <c:v>4.2</c:v>
                </c:pt>
                <c:pt idx="1">
                  <c:v>2.2999999999999998</c:v>
                </c:pt>
                <c:pt idx="2">
                  <c:v>3.4</c:v>
                </c:pt>
              </c:numCache>
            </c:numRef>
          </c:val>
        </c:ser>
        <c:ser>
          <c:idx val="2"/>
          <c:order val="2"/>
          <c:tx>
            <c:strRef>
              <c:f>'Industry Summary'!$A$108</c:f>
              <c:strCache>
                <c:ptCount val="1"/>
                <c:pt idx="0">
                  <c:v>Total Cost</c:v>
                </c:pt>
              </c:strCache>
            </c:strRef>
          </c:tx>
          <c:marker>
            <c:symbol val="none"/>
          </c:marker>
          <c:cat>
            <c:numRef>
              <c:f>'Industry Summary'!$B$105:$D$105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Summary'!$B$108:$D$108</c:f>
              <c:numCache>
                <c:formatCode>General</c:formatCode>
                <c:ptCount val="3"/>
                <c:pt idx="0">
                  <c:v>4.5</c:v>
                </c:pt>
                <c:pt idx="1">
                  <c:v>3.4</c:v>
                </c:pt>
                <c:pt idx="2">
                  <c:v>4.2</c:v>
                </c:pt>
              </c:numCache>
            </c:numRef>
          </c:val>
        </c:ser>
        <c:ser>
          <c:idx val="3"/>
          <c:order val="3"/>
          <c:tx>
            <c:strRef>
              <c:f>'Industry Summary'!$A$109</c:f>
              <c:strCache>
                <c:ptCount val="1"/>
                <c:pt idx="0">
                  <c:v>Service</c:v>
                </c:pt>
              </c:strCache>
            </c:strRef>
          </c:tx>
          <c:cat>
            <c:numRef>
              <c:f>'Industry Summary'!$B$105:$D$105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Summary'!$B$109:$D$109</c:f>
              <c:numCache>
                <c:formatCode>General</c:formatCode>
                <c:ptCount val="3"/>
                <c:pt idx="0">
                  <c:v>4.2</c:v>
                </c:pt>
                <c:pt idx="1">
                  <c:v>3.2</c:v>
                </c:pt>
                <c:pt idx="2">
                  <c:v>4.5</c:v>
                </c:pt>
              </c:numCache>
            </c:numRef>
          </c:val>
        </c:ser>
        <c:ser>
          <c:idx val="4"/>
          <c:order val="4"/>
          <c:tx>
            <c:strRef>
              <c:f>'Industry Summary'!$A$110</c:f>
              <c:strCache>
                <c:ptCount val="1"/>
                <c:pt idx="0">
                  <c:v>Organizational Health</c:v>
                </c:pt>
              </c:strCache>
            </c:strRef>
          </c:tx>
          <c:cat>
            <c:numRef>
              <c:f>'Industry Summary'!$B$105:$D$105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Summary'!$B$110:$D$110</c:f>
              <c:numCache>
                <c:formatCode>General</c:formatCode>
                <c:ptCount val="3"/>
                <c:pt idx="0">
                  <c:v>4.5</c:v>
                </c:pt>
                <c:pt idx="1">
                  <c:v>3.2</c:v>
                </c:pt>
                <c:pt idx="2">
                  <c:v>4.5</c:v>
                </c:pt>
              </c:numCache>
            </c:numRef>
          </c:val>
        </c:ser>
        <c:ser>
          <c:idx val="5"/>
          <c:order val="5"/>
          <c:tx>
            <c:strRef>
              <c:f>'Industry Summary'!$A$111</c:f>
              <c:strCache>
                <c:ptCount val="1"/>
                <c:pt idx="0">
                  <c:v>Other</c:v>
                </c:pt>
              </c:strCache>
            </c:strRef>
          </c:tx>
          <c:cat>
            <c:numRef>
              <c:f>'Industry Summary'!$B$105:$D$105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Summary'!$B$111:$D$111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2.2999999999999998</c:v>
                </c:pt>
                <c:pt idx="2">
                  <c:v>2.2000000000000002</c:v>
                </c:pt>
              </c:numCache>
            </c:numRef>
          </c:val>
        </c:ser>
        <c:ser>
          <c:idx val="6"/>
          <c:order val="6"/>
          <c:tx>
            <c:strRef>
              <c:f>'Industry Summary'!$A$112</c:f>
              <c:strCache>
                <c:ptCount val="1"/>
                <c:pt idx="0">
                  <c:v>Total Score</c:v>
                </c:pt>
              </c:strCache>
            </c:strRef>
          </c:tx>
          <c:cat>
            <c:numRef>
              <c:f>'Industry Summary'!$B$105:$D$105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Summary'!$B$112:$D$112</c:f>
              <c:numCache>
                <c:formatCode>0.00</c:formatCode>
                <c:ptCount val="3"/>
                <c:pt idx="0">
                  <c:v>3.8333333333333335</c:v>
                </c:pt>
                <c:pt idx="1">
                  <c:v>2.9333333333333336</c:v>
                </c:pt>
                <c:pt idx="2">
                  <c:v>3.5166666666666662</c:v>
                </c:pt>
              </c:numCache>
            </c:numRef>
          </c:val>
        </c:ser>
        <c:marker val="1"/>
        <c:axId val="67692800"/>
        <c:axId val="67731456"/>
      </c:lineChart>
      <c:catAx>
        <c:axId val="67692800"/>
        <c:scaling>
          <c:orientation val="minMax"/>
        </c:scaling>
        <c:axPos val="b"/>
        <c:numFmt formatCode="General" sourceLinked="1"/>
        <c:tickLblPos val="nextTo"/>
        <c:crossAx val="67731456"/>
        <c:crosses val="autoZero"/>
        <c:auto val="1"/>
        <c:lblAlgn val="ctr"/>
        <c:lblOffset val="100"/>
      </c:catAx>
      <c:valAx>
        <c:axId val="67731456"/>
        <c:scaling>
          <c:orientation val="minMax"/>
        </c:scaling>
        <c:axPos val="l"/>
        <c:majorGridlines/>
        <c:numFmt formatCode="General" sourceLinked="1"/>
        <c:tickLblPos val="nextTo"/>
        <c:crossAx val="67692800"/>
        <c:crosses val="autoZero"/>
        <c:crossBetween val="between"/>
      </c:valAx>
      <c:spPr>
        <a:solidFill>
          <a:schemeClr val="accent4">
            <a:tint val="20000"/>
          </a:schemeClr>
        </a:solidFill>
      </c:spPr>
    </c:plotArea>
    <c:legend>
      <c:legendPos val="r"/>
      <c:layout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 paperSize="0" orientation="landscape" horizontalDpi="0" verticalDpi="0" copies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Vendor 5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'Industry Summary'!$A$115</c:f>
              <c:strCache>
                <c:ptCount val="1"/>
                <c:pt idx="0">
                  <c:v>Quality</c:v>
                </c:pt>
              </c:strCache>
            </c:strRef>
          </c:tx>
          <c:marker>
            <c:symbol val="none"/>
          </c:marker>
          <c:cat>
            <c:numRef>
              <c:f>'Industry Summary'!$B$114:$D$114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Summary'!$B$115:$D$115</c:f>
              <c:numCache>
                <c:formatCode>General</c:formatCode>
                <c:ptCount val="3"/>
                <c:pt idx="0">
                  <c:v>3.2</c:v>
                </c:pt>
                <c:pt idx="1">
                  <c:v>3.2</c:v>
                </c:pt>
                <c:pt idx="2">
                  <c:v>3.2</c:v>
                </c:pt>
              </c:numCache>
            </c:numRef>
          </c:val>
        </c:ser>
        <c:ser>
          <c:idx val="1"/>
          <c:order val="1"/>
          <c:tx>
            <c:strRef>
              <c:f>'Industry Summary'!$A$116</c:f>
              <c:strCache>
                <c:ptCount val="1"/>
                <c:pt idx="0">
                  <c:v>Delivery</c:v>
                </c:pt>
              </c:strCache>
            </c:strRef>
          </c:tx>
          <c:marker>
            <c:symbol val="none"/>
          </c:marker>
          <c:cat>
            <c:numRef>
              <c:f>'Industry Summary'!$B$114:$D$114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Summary'!$B$116:$D$116</c:f>
              <c:numCache>
                <c:formatCode>General</c:formatCode>
                <c:ptCount val="3"/>
                <c:pt idx="0">
                  <c:v>2.2999999999999998</c:v>
                </c:pt>
                <c:pt idx="1">
                  <c:v>3.2</c:v>
                </c:pt>
                <c:pt idx="2">
                  <c:v>2.2999999999999998</c:v>
                </c:pt>
              </c:numCache>
            </c:numRef>
          </c:val>
        </c:ser>
        <c:ser>
          <c:idx val="2"/>
          <c:order val="2"/>
          <c:tx>
            <c:strRef>
              <c:f>'Industry Summary'!$A$117</c:f>
              <c:strCache>
                <c:ptCount val="1"/>
                <c:pt idx="0">
                  <c:v>Total Cost</c:v>
                </c:pt>
              </c:strCache>
            </c:strRef>
          </c:tx>
          <c:marker>
            <c:symbol val="none"/>
          </c:marker>
          <c:cat>
            <c:numRef>
              <c:f>'Industry Summary'!$B$114:$D$114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Summary'!$B$117:$D$117</c:f>
              <c:numCache>
                <c:formatCode>General</c:formatCode>
                <c:ptCount val="3"/>
                <c:pt idx="0">
                  <c:v>3.2</c:v>
                </c:pt>
                <c:pt idx="1">
                  <c:v>3.2</c:v>
                </c:pt>
                <c:pt idx="2">
                  <c:v>3.4</c:v>
                </c:pt>
              </c:numCache>
            </c:numRef>
          </c:val>
        </c:ser>
        <c:ser>
          <c:idx val="3"/>
          <c:order val="3"/>
          <c:tx>
            <c:strRef>
              <c:f>'Industry Summary'!$A$118</c:f>
              <c:strCache>
                <c:ptCount val="1"/>
                <c:pt idx="0">
                  <c:v>Service</c:v>
                </c:pt>
              </c:strCache>
            </c:strRef>
          </c:tx>
          <c:cat>
            <c:numRef>
              <c:f>'Industry Summary'!$B$114:$D$114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Summary'!$B$118:$D$118</c:f>
              <c:numCache>
                <c:formatCode>General</c:formatCode>
                <c:ptCount val="3"/>
                <c:pt idx="0">
                  <c:v>3.2</c:v>
                </c:pt>
                <c:pt idx="1">
                  <c:v>2.2999999999999998</c:v>
                </c:pt>
                <c:pt idx="2">
                  <c:v>3.2</c:v>
                </c:pt>
              </c:numCache>
            </c:numRef>
          </c:val>
        </c:ser>
        <c:ser>
          <c:idx val="4"/>
          <c:order val="4"/>
          <c:tx>
            <c:strRef>
              <c:f>'Industry Summary'!$A$119</c:f>
              <c:strCache>
                <c:ptCount val="1"/>
                <c:pt idx="0">
                  <c:v>Organizational Health</c:v>
                </c:pt>
              </c:strCache>
            </c:strRef>
          </c:tx>
          <c:cat>
            <c:numRef>
              <c:f>'Industry Summary'!$B$114:$D$114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Summary'!$B$119:$D$119</c:f>
              <c:numCache>
                <c:formatCode>General</c:formatCode>
                <c:ptCount val="3"/>
                <c:pt idx="0">
                  <c:v>2.2999999999999998</c:v>
                </c:pt>
                <c:pt idx="1">
                  <c:v>3.2</c:v>
                </c:pt>
                <c:pt idx="2">
                  <c:v>3.2</c:v>
                </c:pt>
              </c:numCache>
            </c:numRef>
          </c:val>
        </c:ser>
        <c:ser>
          <c:idx val="5"/>
          <c:order val="5"/>
          <c:tx>
            <c:strRef>
              <c:f>'Industry Summary'!$A$120</c:f>
              <c:strCache>
                <c:ptCount val="1"/>
                <c:pt idx="0">
                  <c:v>Other</c:v>
                </c:pt>
              </c:strCache>
            </c:strRef>
          </c:tx>
          <c:cat>
            <c:numRef>
              <c:f>'Industry Summary'!$B$114:$D$114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Summary'!$B$120:$D$120</c:f>
              <c:numCache>
                <c:formatCode>General</c:formatCode>
                <c:ptCount val="3"/>
                <c:pt idx="0">
                  <c:v>3.4</c:v>
                </c:pt>
                <c:pt idx="1">
                  <c:v>3.2</c:v>
                </c:pt>
                <c:pt idx="2">
                  <c:v>2.2000000000000002</c:v>
                </c:pt>
              </c:numCache>
            </c:numRef>
          </c:val>
        </c:ser>
        <c:ser>
          <c:idx val="6"/>
          <c:order val="6"/>
          <c:tx>
            <c:strRef>
              <c:f>'Industry Summary'!$A$121</c:f>
              <c:strCache>
                <c:ptCount val="1"/>
                <c:pt idx="0">
                  <c:v>Total Score</c:v>
                </c:pt>
              </c:strCache>
            </c:strRef>
          </c:tx>
          <c:cat>
            <c:numRef>
              <c:f>'Industry Summary'!$B$114:$D$114</c:f>
              <c:numCache>
                <c:formatCode>General</c:formatCode>
                <c:ptCount val="3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</c:numCache>
            </c:numRef>
          </c:cat>
          <c:val>
            <c:numRef>
              <c:f>'Industry Summary'!$B$121:$D$121</c:f>
              <c:numCache>
                <c:formatCode>0.00</c:formatCode>
                <c:ptCount val="3"/>
                <c:pt idx="0">
                  <c:v>2.9333333333333331</c:v>
                </c:pt>
                <c:pt idx="1">
                  <c:v>3.0500000000000003</c:v>
                </c:pt>
                <c:pt idx="2">
                  <c:v>2.9166666666666665</c:v>
                </c:pt>
              </c:numCache>
            </c:numRef>
          </c:val>
        </c:ser>
        <c:marker val="1"/>
        <c:axId val="67863296"/>
        <c:axId val="67864832"/>
      </c:lineChart>
      <c:catAx>
        <c:axId val="67863296"/>
        <c:scaling>
          <c:orientation val="minMax"/>
        </c:scaling>
        <c:axPos val="b"/>
        <c:numFmt formatCode="General" sourceLinked="1"/>
        <c:tickLblPos val="nextTo"/>
        <c:crossAx val="67864832"/>
        <c:crosses val="autoZero"/>
        <c:auto val="1"/>
        <c:lblAlgn val="ctr"/>
        <c:lblOffset val="100"/>
      </c:catAx>
      <c:valAx>
        <c:axId val="67864832"/>
        <c:scaling>
          <c:orientation val="minMax"/>
        </c:scaling>
        <c:axPos val="l"/>
        <c:majorGridlines/>
        <c:numFmt formatCode="General" sourceLinked="1"/>
        <c:tickLblPos val="nextTo"/>
        <c:crossAx val="67863296"/>
        <c:crosses val="autoZero"/>
        <c:crossBetween val="between"/>
      </c:valAx>
      <c:spPr>
        <a:solidFill>
          <a:schemeClr val="accent5">
            <a:tint val="40000"/>
          </a:schemeClr>
        </a:solidFill>
      </c:spPr>
    </c:plotArea>
    <c:legend>
      <c:legendPos val="r"/>
      <c:layout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 paperSize="0" orientation="landscape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22</xdr:row>
      <xdr:rowOff>157163</xdr:rowOff>
    </xdr:from>
    <xdr:ext cx="5255558" cy="2743200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57150</xdr:colOff>
      <xdr:row>40</xdr:row>
      <xdr:rowOff>57150</xdr:rowOff>
    </xdr:from>
    <xdr:ext cx="5255559" cy="3236259"/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4</xdr:col>
      <xdr:colOff>161925</xdr:colOff>
      <xdr:row>23</xdr:row>
      <xdr:rowOff>100013</xdr:rowOff>
    </xdr:from>
    <xdr:ext cx="5244353" cy="3202641"/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4</xdr:col>
      <xdr:colOff>161925</xdr:colOff>
      <xdr:row>40</xdr:row>
      <xdr:rowOff>147637</xdr:rowOff>
    </xdr:from>
    <xdr:ext cx="5210735" cy="3191436"/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0</xdr:col>
      <xdr:colOff>4762</xdr:colOff>
      <xdr:row>58</xdr:row>
      <xdr:rowOff>123825</xdr:rowOff>
    </xdr:from>
    <xdr:ext cx="5244352" cy="3303493"/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4</xdr:col>
      <xdr:colOff>205627</xdr:colOff>
      <xdr:row>57</xdr:row>
      <xdr:rowOff>167527</xdr:rowOff>
    </xdr:from>
    <xdr:ext cx="5221942" cy="3269877"/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id="1" name="Table1" displayName="Table1" ref="A16:H22" totalsRowShown="0" headerRowDxfId="14" dataDxfId="13" tableBorderDxfId="12">
  <autoFilter ref="A16:H22"/>
  <tableColumns count="8">
    <tableColumn id="1" name=" " dataDxfId="11"/>
    <tableColumn id="2" name="Company's Combined Score" dataDxfId="10"/>
    <tableColumn id="3" name="Vendor's Self-Evaluation" dataDxfId="9"/>
    <tableColumn id="4" name="Company's Combined Score2" dataDxfId="8"/>
    <tableColumn id="5" name="Vendor's Self-Evaluation3" dataDxfId="7"/>
    <tableColumn id="6" name="Company's Combined Score4" dataDxfId="6"/>
    <tableColumn id="7" name="Vendor's Self-Evaluation5" dataDxfId="5">
      <calculatedColumnFormula>(E17+C17)/2</calculatedColumnFormula>
    </tableColumn>
    <tableColumn id="8" name="Weight" dataDxfId="4"/>
  </tableColumns>
  <tableStyleInfo name="TableStyleLight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4_WE Essentials">
  <a:themeElements>
    <a:clrScheme name="Work Essentials Palette">
      <a:dk1>
        <a:sysClr val="windowText" lastClr="000000"/>
      </a:dk1>
      <a:lt1>
        <a:sysClr val="window" lastClr="FFFFFF"/>
      </a:lt1>
      <a:dk2>
        <a:srgbClr val="000000"/>
      </a:dk2>
      <a:lt2>
        <a:srgbClr val="E9E5DC"/>
      </a:lt2>
      <a:accent1>
        <a:srgbClr val="648DC6"/>
      </a:accent1>
      <a:accent2>
        <a:srgbClr val="AED4B4"/>
      </a:accent2>
      <a:accent3>
        <a:srgbClr val="3E6F96"/>
      </a:accent3>
      <a:accent4>
        <a:srgbClr val="E0E9F4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WE Them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65000"/>
              </a:schemeClr>
            </a:gs>
            <a:gs pos="50000">
              <a:schemeClr val="phClr">
                <a:shade val="80000"/>
                <a:satMod val="155000"/>
              </a:schemeClr>
            </a:gs>
            <a:gs pos="100000">
              <a:schemeClr val="phClr">
                <a:tint val="95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tint val="95000"/>
                <a:satMod val="200000"/>
              </a:schemeClr>
              <a:schemeClr val="phClr">
                <a:shade val="80000"/>
                <a:satMod val="10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31"/>
  <sheetViews>
    <sheetView showGridLines="0" tabSelected="1" zoomScalePageLayoutView="75" workbookViewId="0"/>
  </sheetViews>
  <sheetFormatPr defaultRowHeight="15"/>
  <cols>
    <col min="1" max="1" width="23.140625" customWidth="1"/>
    <col min="2" max="2" width="25.85546875" customWidth="1"/>
    <col min="3" max="3" width="23.42578125" customWidth="1"/>
    <col min="4" max="4" width="37.28515625" customWidth="1"/>
    <col min="5" max="5" width="17.85546875" customWidth="1"/>
    <col min="6" max="6" width="17.7109375" customWidth="1"/>
    <col min="7" max="7" width="17.85546875" customWidth="1"/>
    <col min="8" max="8" width="12.42578125" customWidth="1"/>
  </cols>
  <sheetData>
    <row r="1" spans="1:9">
      <c r="A1" s="17" t="s">
        <v>83</v>
      </c>
    </row>
    <row r="2" spans="1:9" ht="12.75" customHeight="1">
      <c r="A2" s="16" t="s">
        <v>106</v>
      </c>
      <c r="B2" s="18" t="s">
        <v>81</v>
      </c>
    </row>
    <row r="3" spans="1:9" ht="12.75" customHeight="1">
      <c r="A3" s="16" t="s">
        <v>100</v>
      </c>
      <c r="B3" s="18" t="s">
        <v>10</v>
      </c>
    </row>
    <row r="4" spans="1:9" ht="12.75" customHeight="1">
      <c r="A4" s="16" t="s">
        <v>101</v>
      </c>
      <c r="B4" s="18" t="s">
        <v>11</v>
      </c>
      <c r="E4" s="145" t="s">
        <v>14</v>
      </c>
      <c r="F4" s="146"/>
      <c r="G4" s="144">
        <f>(B17*H17)+(B18*H18)+(B19*H19)+(B20*H20)+(B21*H21)+(B22*H22)</f>
        <v>2.6</v>
      </c>
      <c r="H4" s="144"/>
    </row>
    <row r="5" spans="1:9" ht="12.75" customHeight="1">
      <c r="A5" s="16" t="s">
        <v>97</v>
      </c>
      <c r="B5" s="31">
        <v>38899</v>
      </c>
      <c r="E5" s="145"/>
      <c r="F5" s="146"/>
      <c r="G5" s="144"/>
      <c r="H5" s="144"/>
    </row>
    <row r="6" spans="1:9" ht="12.75" customHeight="1">
      <c r="A6" s="16" t="s">
        <v>102</v>
      </c>
      <c r="B6" s="18" t="s">
        <v>82</v>
      </c>
      <c r="E6" s="145"/>
      <c r="F6" s="146"/>
      <c r="G6" s="144"/>
      <c r="H6" s="144"/>
    </row>
    <row r="7" spans="1:9" ht="12.75" customHeight="1">
      <c r="A7" s="16" t="s">
        <v>103</v>
      </c>
      <c r="B7" s="18" t="s">
        <v>12</v>
      </c>
      <c r="D7" s="35"/>
    </row>
    <row r="8" spans="1:9" ht="12.75" customHeight="1">
      <c r="A8" s="16" t="s">
        <v>104</v>
      </c>
      <c r="B8" s="19">
        <v>560500</v>
      </c>
    </row>
    <row r="9" spans="1:9" ht="12.75" customHeight="1">
      <c r="A9" s="16" t="s">
        <v>105</v>
      </c>
      <c r="B9" s="18" t="s">
        <v>13</v>
      </c>
    </row>
    <row r="10" spans="1:9" ht="12.75" customHeight="1">
      <c r="A10" s="16"/>
      <c r="B10" s="18"/>
    </row>
    <row r="11" spans="1:9" ht="42" customHeight="1">
      <c r="A11" s="75" t="s">
        <v>84</v>
      </c>
      <c r="B11" s="18"/>
    </row>
    <row r="12" spans="1:9" ht="13.5" customHeight="1">
      <c r="A12" s="161"/>
      <c r="B12" s="161"/>
      <c r="C12" s="161"/>
      <c r="D12" s="161"/>
      <c r="E12" s="161"/>
      <c r="F12" s="161"/>
      <c r="G12" s="161"/>
      <c r="H12" s="161"/>
    </row>
    <row r="13" spans="1:9" ht="28.7" customHeight="1">
      <c r="B13" s="11"/>
      <c r="D13" s="20" t="s">
        <v>107</v>
      </c>
    </row>
    <row r="14" spans="1:9" ht="12.75" customHeight="1" thickBot="1">
      <c r="D14" s="20" t="s">
        <v>109</v>
      </c>
    </row>
    <row r="15" spans="1:9" ht="20.25" customHeight="1" thickTop="1">
      <c r="A15" s="76"/>
      <c r="B15" s="147" t="s">
        <v>85</v>
      </c>
      <c r="C15" s="147"/>
      <c r="D15" s="147" t="s">
        <v>86</v>
      </c>
      <c r="E15" s="147"/>
      <c r="F15" s="147" t="s">
        <v>87</v>
      </c>
      <c r="G15" s="147"/>
      <c r="H15" s="77"/>
      <c r="I15" s="36"/>
    </row>
    <row r="16" spans="1:9" s="2" customFormat="1" ht="26.25">
      <c r="A16" s="78" t="s">
        <v>80</v>
      </c>
      <c r="B16" s="79" t="s">
        <v>8</v>
      </c>
      <c r="C16" s="80" t="s">
        <v>7</v>
      </c>
      <c r="D16" s="81" t="s">
        <v>76</v>
      </c>
      <c r="E16" s="82" t="s">
        <v>77</v>
      </c>
      <c r="F16" s="80" t="s">
        <v>78</v>
      </c>
      <c r="G16" s="83" t="s">
        <v>79</v>
      </c>
      <c r="H16" s="84" t="s">
        <v>9</v>
      </c>
    </row>
    <row r="17" spans="1:8">
      <c r="A17" s="61" t="s">
        <v>1</v>
      </c>
      <c r="B17" s="40">
        <v>2.7</v>
      </c>
      <c r="C17" s="52">
        <v>3.2</v>
      </c>
      <c r="D17" s="54">
        <v>3</v>
      </c>
      <c r="E17" s="52">
        <v>3</v>
      </c>
      <c r="F17" s="57">
        <v>3</v>
      </c>
      <c r="G17" s="58">
        <f t="shared" ref="G17:G22" si="0">(E17+C17)/2</f>
        <v>3.1</v>
      </c>
      <c r="H17" s="62">
        <v>0.3</v>
      </c>
    </row>
    <row r="18" spans="1:8">
      <c r="A18" s="61" t="s">
        <v>2</v>
      </c>
      <c r="B18" s="41">
        <v>2</v>
      </c>
      <c r="C18" s="53">
        <v>1.5</v>
      </c>
      <c r="D18" s="54">
        <v>2</v>
      </c>
      <c r="E18" s="53">
        <v>2</v>
      </c>
      <c r="F18" s="54">
        <v>2</v>
      </c>
      <c r="G18" s="55">
        <f t="shared" si="0"/>
        <v>1.75</v>
      </c>
      <c r="H18" s="63">
        <v>0.2</v>
      </c>
    </row>
    <row r="19" spans="1:8">
      <c r="A19" s="61" t="s">
        <v>3</v>
      </c>
      <c r="B19" s="41">
        <v>2.8</v>
      </c>
      <c r="C19" s="53">
        <v>3</v>
      </c>
      <c r="D19" s="54">
        <v>2.5</v>
      </c>
      <c r="E19" s="53">
        <v>3</v>
      </c>
      <c r="F19" s="54">
        <v>2.5</v>
      </c>
      <c r="G19" s="55">
        <f t="shared" si="0"/>
        <v>3</v>
      </c>
      <c r="H19" s="63">
        <v>0.2</v>
      </c>
    </row>
    <row r="20" spans="1:8">
      <c r="A20" s="61" t="s">
        <v>4</v>
      </c>
      <c r="B20" s="41">
        <v>1.3</v>
      </c>
      <c r="C20" s="53">
        <v>1.8</v>
      </c>
      <c r="D20" s="54">
        <v>2</v>
      </c>
      <c r="E20" s="53">
        <v>2</v>
      </c>
      <c r="F20" s="54">
        <v>2</v>
      </c>
      <c r="G20" s="55">
        <f t="shared" si="0"/>
        <v>1.9</v>
      </c>
      <c r="H20" s="63">
        <v>0.1</v>
      </c>
    </row>
    <row r="21" spans="1:8">
      <c r="A21" s="61" t="s">
        <v>5</v>
      </c>
      <c r="B21" s="41">
        <v>4.0999999999999996</v>
      </c>
      <c r="C21" s="53">
        <v>4.5999999999999996</v>
      </c>
      <c r="D21" s="54">
        <v>4</v>
      </c>
      <c r="E21" s="53">
        <v>3</v>
      </c>
      <c r="F21" s="54">
        <v>4</v>
      </c>
      <c r="G21" s="55">
        <f t="shared" si="0"/>
        <v>3.8</v>
      </c>
      <c r="H21" s="63">
        <v>0.1</v>
      </c>
    </row>
    <row r="22" spans="1:8">
      <c r="A22" s="61" t="s">
        <v>6</v>
      </c>
      <c r="B22" s="60">
        <v>2.9</v>
      </c>
      <c r="C22" s="59">
        <v>3</v>
      </c>
      <c r="D22" s="56">
        <v>2.2999999999999998</v>
      </c>
      <c r="E22" s="59">
        <v>2</v>
      </c>
      <c r="F22" s="56">
        <v>2.2999999999999998</v>
      </c>
      <c r="G22" s="59">
        <f t="shared" si="0"/>
        <v>2.5</v>
      </c>
      <c r="H22" s="63">
        <v>0.1</v>
      </c>
    </row>
    <row r="23" spans="1:8">
      <c r="C23" s="4"/>
    </row>
    <row r="24" spans="1:8" ht="15.75" thickBot="1">
      <c r="A24" s="21" t="s">
        <v>15</v>
      </c>
      <c r="C24" s="4"/>
    </row>
    <row r="25" spans="1:8">
      <c r="A25" s="140"/>
      <c r="B25" s="141"/>
      <c r="C25" s="141"/>
      <c r="D25" s="141"/>
      <c r="E25" s="141"/>
      <c r="F25" s="141"/>
      <c r="G25" s="141"/>
      <c r="H25" s="141"/>
    </row>
    <row r="26" spans="1:8">
      <c r="A26" s="142"/>
      <c r="B26" s="142"/>
      <c r="C26" s="142"/>
      <c r="D26" s="142"/>
      <c r="E26" s="142"/>
      <c r="F26" s="142"/>
      <c r="G26" s="142"/>
      <c r="H26" s="142"/>
    </row>
    <row r="27" spans="1:8">
      <c r="A27" s="142"/>
      <c r="B27" s="142"/>
      <c r="C27" s="142"/>
      <c r="D27" s="142"/>
      <c r="E27" s="142"/>
      <c r="F27" s="142"/>
      <c r="G27" s="142"/>
      <c r="H27" s="142"/>
    </row>
    <row r="28" spans="1:8">
      <c r="A28" s="142"/>
      <c r="B28" s="142"/>
      <c r="C28" s="142"/>
      <c r="D28" s="142"/>
      <c r="E28" s="142"/>
      <c r="F28" s="142"/>
      <c r="G28" s="142"/>
      <c r="H28" s="142"/>
    </row>
    <row r="29" spans="1:8">
      <c r="A29" s="142"/>
      <c r="B29" s="142"/>
      <c r="C29" s="142"/>
      <c r="D29" s="142"/>
      <c r="E29" s="142"/>
      <c r="F29" s="142"/>
      <c r="G29" s="142"/>
      <c r="H29" s="142"/>
    </row>
    <row r="30" spans="1:8">
      <c r="A30" s="142"/>
      <c r="B30" s="142"/>
      <c r="C30" s="142"/>
      <c r="D30" s="142"/>
      <c r="E30" s="142"/>
      <c r="F30" s="142"/>
      <c r="G30" s="142"/>
      <c r="H30" s="142"/>
    </row>
    <row r="31" spans="1:8">
      <c r="A31" s="143"/>
      <c r="B31" s="143"/>
      <c r="C31" s="143"/>
      <c r="D31" s="143"/>
      <c r="E31" s="143"/>
      <c r="F31" s="143"/>
      <c r="G31" s="143"/>
      <c r="H31" s="143"/>
    </row>
  </sheetData>
  <mergeCells count="6">
    <mergeCell ref="A25:H31"/>
    <mergeCell ref="G4:H6"/>
    <mergeCell ref="E4:F6"/>
    <mergeCell ref="B15:C15"/>
    <mergeCell ref="D15:E15"/>
    <mergeCell ref="F15:G15"/>
  </mergeCells>
  <conditionalFormatting sqref="B17:B22">
    <cfRule type="iconSet" priority="28">
      <iconSet iconSet="3ArrowsGray">
        <cfvo type="percentile" val="0"/>
        <cfvo type="formula" val="$D$17"/>
        <cfvo type="formula" val="$D$17" gte="0"/>
      </iconSet>
    </cfRule>
    <cfRule type="colorScale" priority="6">
      <formula>MAX(IF(ISBLANK($B$17:$B$22), "", IF(ISERROR($B$17:$B$22), "", $B$17:$B$22)))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B18">
    <cfRule type="iconSet" priority="27">
      <iconSet iconSet="3ArrowsGray">
        <cfvo type="percentile" val="0"/>
        <cfvo type="formula" val="$D$18"/>
        <cfvo type="formula" val="$D$18" gte="0"/>
      </iconSet>
    </cfRule>
  </conditionalFormatting>
  <conditionalFormatting sqref="B19">
    <cfRule type="iconSet" priority="26">
      <iconSet iconSet="3ArrowsGray">
        <cfvo type="percentile" val="0"/>
        <cfvo type="formula" val="$D$19"/>
        <cfvo type="formula" val="$D$19" gte="0"/>
      </iconSet>
    </cfRule>
  </conditionalFormatting>
  <conditionalFormatting sqref="B20">
    <cfRule type="iconSet" priority="25">
      <iconSet iconSet="3ArrowsGray">
        <cfvo type="percentile" val="0"/>
        <cfvo type="formula" val="$D$20"/>
        <cfvo type="formula" val="$D$20" gte="0"/>
      </iconSet>
    </cfRule>
  </conditionalFormatting>
  <conditionalFormatting sqref="B21">
    <cfRule type="iconSet" priority="24">
      <iconSet iconSet="3ArrowsGray">
        <cfvo type="percentile" val="0"/>
        <cfvo type="formula" val="$D$21"/>
        <cfvo type="formula" val="$D$21" gte="0"/>
      </iconSet>
    </cfRule>
  </conditionalFormatting>
  <conditionalFormatting sqref="B22">
    <cfRule type="iconSet" priority="23">
      <iconSet iconSet="3ArrowsGray">
        <cfvo type="percentile" val="0"/>
        <cfvo type="formula" val="$D$22"/>
        <cfvo type="formula" val="$D$22" gte="0"/>
      </iconSet>
    </cfRule>
  </conditionalFormatting>
  <conditionalFormatting sqref="C17:C22">
    <cfRule type="iconSet" priority="22">
      <iconSet iconSet="3ArrowsGray">
        <cfvo type="percentile" val="0"/>
        <cfvo type="formula" val="$E$17"/>
        <cfvo type="formula" val="$E$17" gte="0"/>
      </iconSet>
    </cfRule>
    <cfRule type="colorScale" priority="5">
      <formula>MAX(IF(ISBLANK($C$17:$C$22), "", IF(ISERROR($C$17:$C$22), "", $C$17:$C$22)))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C18">
    <cfRule type="iconSet" priority="21">
      <iconSet iconSet="3ArrowsGray">
        <cfvo type="percentile" val="0"/>
        <cfvo type="formula" val="$E$18"/>
        <cfvo type="formula" val="$E$18" gte="0"/>
      </iconSet>
    </cfRule>
  </conditionalFormatting>
  <conditionalFormatting sqref="C19">
    <cfRule type="iconSet" priority="20">
      <iconSet iconSet="3ArrowsGray">
        <cfvo type="percentile" val="0"/>
        <cfvo type="formula" val="$E$19"/>
        <cfvo type="formula" val="$E$19" gte="0"/>
      </iconSet>
    </cfRule>
  </conditionalFormatting>
  <conditionalFormatting sqref="C20">
    <cfRule type="iconSet" priority="19">
      <iconSet iconSet="3ArrowsGray">
        <cfvo type="percentile" val="0"/>
        <cfvo type="formula" val="$E$20"/>
        <cfvo type="formula" val="$E$20" gte="0"/>
      </iconSet>
    </cfRule>
  </conditionalFormatting>
  <conditionalFormatting sqref="C21">
    <cfRule type="iconSet" priority="18">
      <iconSet iconSet="3ArrowsGray">
        <cfvo type="percentile" val="0"/>
        <cfvo type="formula" val="$E$21"/>
        <cfvo type="formula" val="$E$21" gte="0"/>
      </iconSet>
    </cfRule>
  </conditionalFormatting>
  <conditionalFormatting sqref="C22">
    <cfRule type="iconSet" priority="17">
      <iconSet iconSet="3ArrowsGray">
        <cfvo type="percentile" val="0"/>
        <cfvo type="formula" val="$E$22"/>
        <cfvo type="formula" val="$E$22" gte="0"/>
      </iconSet>
    </cfRule>
  </conditionalFormatting>
  <conditionalFormatting sqref="B17:G22">
    <cfRule type="top10" priority="13" percent="1" rank="10"/>
    <cfRule type="top10" dxfId="16" priority="9" percent="1" rank="10"/>
    <cfRule type="top10" dxfId="15" priority="8" percent="1" bottom="1" rank="10"/>
  </conditionalFormatting>
  <conditionalFormatting sqref="D17:D22">
    <cfRule type="colorScale" priority="4">
      <formula>MAX(IF(ISBLANK($D$17:$D$22), "", IF(ISERROR($D$17:$D$22), "", $D$17:$D$22)))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E17:E22">
    <cfRule type="colorScale" priority="3">
      <formula>MAX(IF(ISBLANK($E$17:$E$22), "", IF(ISERROR($E$17:$E$22), "", $E$17:$E$22)))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F17:F22">
    <cfRule type="colorScale" priority="2">
      <formula>MAX(IF(ISBLANK($F$17:$F$22), "", IF(ISERROR($F$17:$F$22), "", $F$17:$F$22)))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G17:G22">
    <cfRule type="colorScale" priority="1">
      <formula>MAX(IF(ISBLANK($G$17:$G$22), "", IF(ISERROR($G$17:$G$22), "", $G$17:$G$22)))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pageMargins left="0.5" right="0.5" top="0.5" bottom="0.5" header="0.3" footer="0.3"/>
  <pageSetup paperSize="5" pageOrder="overThenDown" orientation="landscape" r:id="rId1"/>
  <colBreaks count="1" manualBreakCount="1">
    <brk id="3" max="1048575" man="1"/>
  </col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07"/>
  <sheetViews>
    <sheetView showGridLines="0" showRuler="0" zoomScaleSheetLayoutView="100" workbookViewId="0"/>
  </sheetViews>
  <sheetFormatPr defaultRowHeight="15"/>
  <cols>
    <col min="1" max="1" width="34.7109375" customWidth="1"/>
    <col min="2" max="9" width="25" customWidth="1"/>
    <col min="10" max="10" width="48.5703125" customWidth="1"/>
    <col min="11" max="11" width="11.140625" customWidth="1"/>
    <col min="12" max="12" width="21.140625" customWidth="1"/>
  </cols>
  <sheetData>
    <row r="1" spans="1:11" s="27" customFormat="1" ht="15" customHeight="1">
      <c r="A1" s="17" t="s">
        <v>0</v>
      </c>
      <c r="B1" s="32" t="s">
        <v>81</v>
      </c>
      <c r="C1" s="28"/>
      <c r="D1" s="28"/>
      <c r="E1" s="28"/>
      <c r="F1" s="28"/>
    </row>
    <row r="2" spans="1:11" s="16" customFormat="1" ht="12.75" customHeight="1">
      <c r="A2" s="16" t="s">
        <v>100</v>
      </c>
      <c r="B2" s="26" t="s">
        <v>10</v>
      </c>
      <c r="C2" s="26"/>
      <c r="D2" s="26"/>
      <c r="E2" s="26"/>
      <c r="F2" s="26"/>
    </row>
    <row r="3" spans="1:11" s="16" customFormat="1" ht="12.75" customHeight="1">
      <c r="A3" s="16" t="s">
        <v>101</v>
      </c>
      <c r="B3" s="26" t="s">
        <v>11</v>
      </c>
      <c r="C3" s="26"/>
      <c r="D3" s="26"/>
      <c r="E3" s="26"/>
      <c r="F3" s="26"/>
    </row>
    <row r="4" spans="1:11" s="16" customFormat="1" ht="12.75" customHeight="1">
      <c r="A4" s="16" t="s">
        <v>97</v>
      </c>
      <c r="B4" s="29">
        <v>38899</v>
      </c>
      <c r="C4" s="29"/>
      <c r="D4" s="29"/>
      <c r="E4" s="29"/>
      <c r="F4" s="29"/>
    </row>
    <row r="5" spans="1:11" s="16" customFormat="1" ht="12.75" customHeight="1">
      <c r="A5" s="16" t="s">
        <v>102</v>
      </c>
      <c r="B5" s="26" t="s">
        <v>82</v>
      </c>
      <c r="C5" s="26"/>
      <c r="D5" s="26"/>
      <c r="E5" s="26"/>
      <c r="F5" s="26"/>
    </row>
    <row r="6" spans="1:11" s="16" customFormat="1" ht="12.75" customHeight="1">
      <c r="A6" s="16" t="s">
        <v>103</v>
      </c>
      <c r="B6" s="26" t="s">
        <v>12</v>
      </c>
      <c r="C6" s="26"/>
      <c r="D6" s="26"/>
      <c r="E6" s="26"/>
      <c r="F6" s="26"/>
    </row>
    <row r="7" spans="1:11" s="16" customFormat="1" ht="12.75" customHeight="1">
      <c r="A7" s="16" t="s">
        <v>104</v>
      </c>
      <c r="B7" s="30">
        <v>560500</v>
      </c>
      <c r="C7" s="30"/>
      <c r="D7" s="30"/>
      <c r="E7" s="30"/>
      <c r="F7" s="30"/>
    </row>
    <row r="8" spans="1:11" s="16" customFormat="1" ht="12.75" customHeight="1">
      <c r="A8" s="16" t="s">
        <v>105</v>
      </c>
      <c r="B8" s="26" t="s">
        <v>13</v>
      </c>
      <c r="C8" s="26"/>
      <c r="D8" s="26"/>
      <c r="E8" s="26"/>
      <c r="F8" s="26"/>
    </row>
    <row r="10" spans="1:11" ht="42" customHeight="1">
      <c r="A10" s="75" t="s">
        <v>1</v>
      </c>
      <c r="B10" s="7"/>
      <c r="C10" s="7"/>
      <c r="D10" s="7"/>
      <c r="E10" s="7"/>
      <c r="F10" s="7"/>
      <c r="K10" s="2"/>
    </row>
    <row r="11" spans="1:11" ht="13.5" customHeight="1">
      <c r="A11" s="162"/>
      <c r="B11" s="162"/>
      <c r="C11" s="162"/>
      <c r="D11" s="162"/>
      <c r="E11" s="162"/>
      <c r="F11" s="162"/>
      <c r="G11" s="162"/>
      <c r="H11" s="162"/>
      <c r="I11" s="162"/>
      <c r="J11" s="162"/>
      <c r="K11" s="2"/>
    </row>
    <row r="12" spans="1:11" s="35" customFormat="1" ht="13.5" customHeight="1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4"/>
    </row>
    <row r="13" spans="1:11" ht="12.75" customHeight="1" thickBot="1">
      <c r="A13" s="5"/>
      <c r="C13" s="7"/>
      <c r="D13" s="20" t="s">
        <v>31</v>
      </c>
      <c r="E13" s="7"/>
      <c r="F13" s="7"/>
      <c r="K13" s="2"/>
    </row>
    <row r="14" spans="1:11" s="6" customFormat="1" ht="15.75" customHeight="1">
      <c r="A14" s="105"/>
      <c r="B14" s="154" t="s">
        <v>99</v>
      </c>
      <c r="C14" s="154"/>
      <c r="D14" s="105"/>
      <c r="E14" s="105"/>
      <c r="F14" s="105"/>
      <c r="G14" s="105"/>
      <c r="H14" s="105"/>
      <c r="I14" s="105"/>
      <c r="J14" s="105"/>
    </row>
    <row r="15" spans="1:11" ht="12.75" customHeight="1">
      <c r="A15" s="85" t="s">
        <v>88</v>
      </c>
      <c r="B15" s="103" t="s">
        <v>47</v>
      </c>
      <c r="C15" s="103" t="s">
        <v>48</v>
      </c>
      <c r="D15" s="103" t="s">
        <v>49</v>
      </c>
      <c r="E15" s="103" t="s">
        <v>50</v>
      </c>
      <c r="F15" s="103" t="s">
        <v>51</v>
      </c>
      <c r="G15" s="104" t="s">
        <v>89</v>
      </c>
      <c r="H15" s="104" t="s">
        <v>25</v>
      </c>
      <c r="I15" s="104" t="s">
        <v>9</v>
      </c>
      <c r="J15" s="85" t="s">
        <v>18</v>
      </c>
    </row>
    <row r="16" spans="1:11">
      <c r="A16" s="50" t="s">
        <v>19</v>
      </c>
      <c r="B16" s="111">
        <v>2</v>
      </c>
      <c r="C16" s="112">
        <v>1.8</v>
      </c>
      <c r="D16" s="112">
        <v>2.5</v>
      </c>
      <c r="E16" s="112">
        <v>3</v>
      </c>
      <c r="F16" s="112">
        <v>3</v>
      </c>
      <c r="G16" s="113">
        <f>AVERAGE(B16:F16)</f>
        <v>2.46</v>
      </c>
      <c r="H16" s="113">
        <v>3</v>
      </c>
      <c r="I16" s="114">
        <v>0.3</v>
      </c>
      <c r="J16" s="115"/>
    </row>
    <row r="17" spans="1:10">
      <c r="A17" s="51" t="s">
        <v>20</v>
      </c>
      <c r="B17" s="116">
        <v>1</v>
      </c>
      <c r="C17" s="117">
        <v>2</v>
      </c>
      <c r="D17" s="117">
        <v>1</v>
      </c>
      <c r="E17" s="117">
        <v>2.1</v>
      </c>
      <c r="F17" s="117">
        <v>2.5</v>
      </c>
      <c r="G17" s="102">
        <f t="shared" ref="G17:G20" si="0">AVERAGE(B17:F17)</f>
        <v>1.72</v>
      </c>
      <c r="H17" s="102">
        <v>4.5999999999999996</v>
      </c>
      <c r="I17" s="118">
        <v>0.1</v>
      </c>
      <c r="J17" s="119"/>
    </row>
    <row r="18" spans="1:10">
      <c r="A18" s="51" t="s">
        <v>21</v>
      </c>
      <c r="B18" s="116">
        <v>3</v>
      </c>
      <c r="C18" s="117">
        <v>3.5</v>
      </c>
      <c r="D18" s="117">
        <v>3</v>
      </c>
      <c r="E18" s="117">
        <v>3</v>
      </c>
      <c r="F18" s="117">
        <v>4</v>
      </c>
      <c r="G18" s="102">
        <f t="shared" si="0"/>
        <v>3.3</v>
      </c>
      <c r="H18" s="102">
        <v>3</v>
      </c>
      <c r="I18" s="118">
        <v>0.25</v>
      </c>
      <c r="J18" s="119"/>
    </row>
    <row r="19" spans="1:10">
      <c r="A19" s="51" t="s">
        <v>22</v>
      </c>
      <c r="B19" s="116">
        <v>4</v>
      </c>
      <c r="C19" s="117">
        <v>3.8</v>
      </c>
      <c r="D19" s="117">
        <v>4</v>
      </c>
      <c r="E19" s="117">
        <v>4.7</v>
      </c>
      <c r="F19" s="117">
        <v>3.5</v>
      </c>
      <c r="G19" s="102">
        <f t="shared" si="0"/>
        <v>4</v>
      </c>
      <c r="H19" s="117">
        <v>4</v>
      </c>
      <c r="I19" s="118">
        <v>0.25</v>
      </c>
      <c r="J19" s="119"/>
    </row>
    <row r="20" spans="1:10">
      <c r="A20" s="51" t="s">
        <v>23</v>
      </c>
      <c r="B20" s="116">
        <v>4</v>
      </c>
      <c r="C20" s="117">
        <v>4.2</v>
      </c>
      <c r="D20" s="117">
        <v>3</v>
      </c>
      <c r="E20" s="117">
        <v>4.5999999999999996</v>
      </c>
      <c r="F20" s="102">
        <v>3.6</v>
      </c>
      <c r="G20" s="102">
        <f t="shared" si="0"/>
        <v>3.88</v>
      </c>
      <c r="H20" s="102">
        <v>3</v>
      </c>
      <c r="I20" s="118">
        <v>0.1</v>
      </c>
      <c r="J20" s="120"/>
    </row>
    <row r="21" spans="1:10" ht="15.75" thickBot="1">
      <c r="B21" s="121"/>
      <c r="C21" s="121"/>
      <c r="D21" s="121"/>
      <c r="E21" s="121"/>
      <c r="F21" s="121"/>
      <c r="G21" s="121"/>
      <c r="H21" s="121"/>
      <c r="I21" s="121"/>
      <c r="J21" s="121"/>
    </row>
    <row r="22" spans="1:10" s="27" customFormat="1" ht="15.75" thickBot="1">
      <c r="A22" s="27" t="s">
        <v>24</v>
      </c>
      <c r="B22" s="122">
        <f>(G16*I16)+(G17*I17)+(G18*I18)+(G19*I19)+(G20*I20)</f>
        <v>3.1229999999999998</v>
      </c>
      <c r="C22" s="123"/>
      <c r="D22" s="123"/>
      <c r="E22" s="123"/>
      <c r="F22" s="123"/>
      <c r="G22" s="121"/>
      <c r="H22" s="121"/>
      <c r="I22" s="121"/>
      <c r="J22" s="121"/>
    </row>
    <row r="23" spans="1:10" ht="15.75" hidden="1" customHeight="1">
      <c r="B23" s="121"/>
      <c r="C23" s="121"/>
      <c r="D23" s="121"/>
      <c r="E23" s="121"/>
      <c r="F23" s="121"/>
      <c r="G23" s="121"/>
      <c r="H23" s="121"/>
      <c r="I23" s="121"/>
      <c r="J23" s="121"/>
    </row>
    <row r="24" spans="1:10" hidden="1">
      <c r="B24" s="121"/>
      <c r="C24" s="121"/>
      <c r="D24" s="121"/>
      <c r="E24" s="121"/>
      <c r="F24" s="121"/>
      <c r="G24" s="121"/>
      <c r="H24" s="121"/>
      <c r="I24" s="121"/>
      <c r="J24" s="121"/>
    </row>
    <row r="25" spans="1:10" ht="42" customHeight="1">
      <c r="A25" s="75" t="s">
        <v>2</v>
      </c>
      <c r="B25" s="121"/>
      <c r="C25" s="121"/>
      <c r="D25" s="121"/>
      <c r="E25" s="121"/>
      <c r="F25" s="121"/>
      <c r="G25" s="121"/>
      <c r="H25" s="121"/>
      <c r="I25" s="121"/>
      <c r="J25" s="121"/>
    </row>
    <row r="26" spans="1:10" ht="13.5" customHeight="1">
      <c r="A26" s="87"/>
      <c r="B26" s="87"/>
      <c r="C26" s="87"/>
      <c r="D26" s="87"/>
      <c r="E26" s="87"/>
      <c r="F26" s="87"/>
      <c r="G26" s="87"/>
      <c r="H26" s="87"/>
      <c r="I26" s="87"/>
      <c r="J26" s="87"/>
    </row>
    <row r="27" spans="1:10" s="35" customFormat="1" ht="13.5" customHeight="1" thickBot="1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s="35" customFormat="1" ht="15.75" customHeight="1">
      <c r="A28" s="105"/>
      <c r="B28" s="106" t="s">
        <v>99</v>
      </c>
      <c r="C28" s="107"/>
      <c r="D28" s="107"/>
      <c r="E28" s="107"/>
      <c r="F28" s="107"/>
      <c r="G28" s="107"/>
      <c r="H28" s="107"/>
      <c r="I28" s="107"/>
      <c r="J28" s="107"/>
    </row>
    <row r="29" spans="1:10" s="3" customFormat="1" ht="12.75" customHeight="1">
      <c r="A29" s="86" t="s">
        <v>88</v>
      </c>
      <c r="B29" s="86" t="s">
        <v>47</v>
      </c>
      <c r="C29" s="86" t="s">
        <v>48</v>
      </c>
      <c r="D29" s="86" t="s">
        <v>49</v>
      </c>
      <c r="E29" s="86" t="s">
        <v>50</v>
      </c>
      <c r="F29" s="86" t="s">
        <v>51</v>
      </c>
      <c r="G29" s="86" t="s">
        <v>17</v>
      </c>
      <c r="H29" s="86" t="s">
        <v>25</v>
      </c>
      <c r="I29" s="86" t="s">
        <v>9</v>
      </c>
      <c r="J29" s="86" t="s">
        <v>18</v>
      </c>
    </row>
    <row r="30" spans="1:10">
      <c r="A30" s="51" t="s">
        <v>52</v>
      </c>
      <c r="B30" s="64"/>
      <c r="C30" s="65"/>
      <c r="D30" s="65"/>
      <c r="E30" s="65"/>
      <c r="F30" s="65"/>
      <c r="G30" s="65"/>
      <c r="H30" s="65"/>
      <c r="I30" s="118"/>
      <c r="J30" s="124"/>
    </row>
    <row r="31" spans="1:10">
      <c r="A31" s="51" t="s">
        <v>53</v>
      </c>
      <c r="B31" s="64"/>
      <c r="C31" s="65"/>
      <c r="D31" s="65"/>
      <c r="E31" s="65"/>
      <c r="F31" s="65"/>
      <c r="G31" s="65"/>
      <c r="H31" s="65"/>
      <c r="I31" s="118"/>
      <c r="J31" s="124"/>
    </row>
    <row r="32" spans="1:10">
      <c r="A32" s="51" t="s">
        <v>54</v>
      </c>
      <c r="B32" s="64"/>
      <c r="C32" s="65"/>
      <c r="D32" s="65"/>
      <c r="E32" s="65"/>
      <c r="F32" s="65"/>
      <c r="G32" s="65"/>
      <c r="H32" s="65"/>
      <c r="I32" s="118"/>
      <c r="J32" s="124"/>
    </row>
    <row r="33" spans="1:10">
      <c r="A33" s="51" t="s">
        <v>55</v>
      </c>
      <c r="B33" s="64"/>
      <c r="C33" s="65"/>
      <c r="D33" s="65"/>
      <c r="E33" s="65"/>
      <c r="F33" s="65"/>
      <c r="G33" s="65"/>
      <c r="H33" s="65"/>
      <c r="I33" s="118"/>
      <c r="J33" s="124"/>
    </row>
    <row r="34" spans="1:10">
      <c r="A34" s="51"/>
      <c r="B34" s="42"/>
      <c r="C34" s="43"/>
      <c r="D34" s="43"/>
      <c r="E34" s="43"/>
      <c r="F34" s="43"/>
      <c r="G34" s="43"/>
      <c r="H34" s="43"/>
      <c r="I34" s="118"/>
      <c r="J34" s="125"/>
    </row>
    <row r="35" spans="1:10" ht="15.75" thickBot="1">
      <c r="B35" s="121"/>
      <c r="C35" s="121"/>
      <c r="D35" s="121"/>
      <c r="E35" s="121"/>
      <c r="F35" s="121"/>
      <c r="G35" s="121"/>
      <c r="H35" s="121"/>
      <c r="I35" s="121"/>
      <c r="J35" s="121"/>
    </row>
    <row r="36" spans="1:10" s="27" customFormat="1" ht="15.75" thickBot="1">
      <c r="A36" s="27" t="s">
        <v>26</v>
      </c>
      <c r="B36" s="126">
        <f>(G30*I30)+(G31*I31)+(G32*I32)+(G33*I33)+(G34*I34)</f>
        <v>0</v>
      </c>
      <c r="C36" s="123"/>
      <c r="D36" s="123"/>
      <c r="E36" s="123"/>
      <c r="F36" s="123"/>
      <c r="G36" s="121"/>
      <c r="H36" s="121"/>
      <c r="I36" s="121"/>
      <c r="J36" s="121"/>
    </row>
    <row r="37" spans="1:10" hidden="1">
      <c r="B37" s="121"/>
      <c r="C37" s="121"/>
      <c r="D37" s="121"/>
      <c r="E37" s="121"/>
      <c r="F37" s="121"/>
      <c r="G37" s="121"/>
      <c r="H37" s="121"/>
      <c r="I37" s="121"/>
      <c r="J37" s="121"/>
    </row>
    <row r="38" spans="1:10" hidden="1">
      <c r="B38" s="121"/>
      <c r="C38" s="121"/>
      <c r="D38" s="121"/>
      <c r="E38" s="121"/>
      <c r="F38" s="121"/>
      <c r="G38" s="121"/>
      <c r="H38" s="121"/>
      <c r="I38" s="121"/>
      <c r="J38" s="121"/>
    </row>
    <row r="39" spans="1:10" ht="42" customHeight="1">
      <c r="A39" s="75" t="s">
        <v>3</v>
      </c>
      <c r="B39" s="121"/>
      <c r="C39" s="121"/>
      <c r="D39" s="121"/>
      <c r="E39" s="121"/>
      <c r="F39" s="121"/>
      <c r="G39" s="121"/>
      <c r="H39" s="121"/>
      <c r="I39" s="121"/>
      <c r="J39" s="121"/>
    </row>
    <row r="40" spans="1:10" ht="13.5" customHeight="1">
      <c r="A40" s="87"/>
      <c r="B40" s="87"/>
      <c r="C40" s="87"/>
      <c r="D40" s="87"/>
      <c r="E40" s="87"/>
      <c r="F40" s="87"/>
      <c r="G40" s="87"/>
      <c r="H40" s="87"/>
      <c r="I40" s="87"/>
      <c r="J40" s="87"/>
    </row>
    <row r="41" spans="1:10" s="35" customFormat="1" ht="13.5" customHeight="1" thickBot="1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s="35" customFormat="1" ht="15.75" customHeight="1">
      <c r="A42" s="105"/>
      <c r="B42" s="106" t="s">
        <v>99</v>
      </c>
      <c r="C42" s="107"/>
      <c r="D42" s="107"/>
      <c r="E42" s="107"/>
      <c r="F42" s="107"/>
      <c r="G42" s="107"/>
      <c r="H42" s="107"/>
      <c r="I42" s="107"/>
      <c r="J42" s="107"/>
    </row>
    <row r="43" spans="1:10" s="3" customFormat="1" ht="12.75" customHeight="1">
      <c r="A43" s="86" t="s">
        <v>88</v>
      </c>
      <c r="B43" s="86" t="s">
        <v>47</v>
      </c>
      <c r="C43" s="86" t="s">
        <v>48</v>
      </c>
      <c r="D43" s="86" t="s">
        <v>49</v>
      </c>
      <c r="E43" s="86" t="s">
        <v>50</v>
      </c>
      <c r="F43" s="86" t="s">
        <v>51</v>
      </c>
      <c r="G43" s="86" t="s">
        <v>17</v>
      </c>
      <c r="H43" s="86" t="s">
        <v>25</v>
      </c>
      <c r="I43" s="86" t="s">
        <v>9</v>
      </c>
      <c r="J43" s="86" t="s">
        <v>18</v>
      </c>
    </row>
    <row r="44" spans="1:10">
      <c r="A44" s="51" t="s">
        <v>58</v>
      </c>
      <c r="B44" s="66"/>
      <c r="C44" s="67"/>
      <c r="D44" s="67"/>
      <c r="E44" s="67"/>
      <c r="F44" s="67"/>
      <c r="G44" s="67"/>
      <c r="H44" s="68"/>
      <c r="I44" s="127"/>
      <c r="J44" s="124"/>
    </row>
    <row r="45" spans="1:10">
      <c r="A45" s="51" t="s">
        <v>56</v>
      </c>
      <c r="B45" s="66"/>
      <c r="C45" s="67"/>
      <c r="D45" s="67"/>
      <c r="E45" s="67"/>
      <c r="F45" s="67"/>
      <c r="G45" s="67"/>
      <c r="H45" s="68"/>
      <c r="I45" s="127"/>
      <c r="J45" s="124"/>
    </row>
    <row r="46" spans="1:10">
      <c r="A46" s="51" t="s">
        <v>57</v>
      </c>
      <c r="B46" s="66"/>
      <c r="C46" s="67"/>
      <c r="D46" s="67"/>
      <c r="E46" s="67"/>
      <c r="F46" s="67"/>
      <c r="G46" s="67"/>
      <c r="H46" s="68"/>
      <c r="I46" s="127"/>
      <c r="J46" s="124"/>
    </row>
    <row r="47" spans="1:10">
      <c r="A47" s="51"/>
      <c r="B47" s="66"/>
      <c r="C47" s="67"/>
      <c r="D47" s="67"/>
      <c r="E47" s="67"/>
      <c r="F47" s="67"/>
      <c r="G47" s="67"/>
      <c r="H47" s="68"/>
      <c r="I47" s="127"/>
      <c r="J47" s="124"/>
    </row>
    <row r="48" spans="1:10">
      <c r="A48" s="51"/>
      <c r="B48" s="66"/>
      <c r="C48" s="67"/>
      <c r="D48" s="67"/>
      <c r="E48" s="67"/>
      <c r="F48" s="67"/>
      <c r="G48" s="67"/>
      <c r="H48" s="68"/>
      <c r="I48" s="127"/>
      <c r="J48" s="125"/>
    </row>
    <row r="49" spans="1:10" hidden="1">
      <c r="A49" s="3"/>
      <c r="B49" s="128"/>
      <c r="C49" s="128"/>
      <c r="D49" s="128"/>
      <c r="E49" s="128"/>
      <c r="F49" s="128"/>
      <c r="G49" s="128"/>
      <c r="H49" s="129"/>
      <c r="I49" s="130"/>
      <c r="J49" s="120"/>
    </row>
    <row r="50" spans="1:10" ht="15.75" thickBot="1">
      <c r="B50" s="121"/>
      <c r="C50" s="121"/>
      <c r="D50" s="121"/>
      <c r="E50" s="121"/>
      <c r="F50" s="121"/>
      <c r="G50" s="121"/>
      <c r="H50" s="121"/>
      <c r="I50" s="121"/>
      <c r="J50" s="121"/>
    </row>
    <row r="51" spans="1:10" s="27" customFormat="1" ht="15.75" thickBot="1">
      <c r="A51" s="27" t="s">
        <v>27</v>
      </c>
      <c r="B51" s="126">
        <f>(G45*I45)+(G46*I46)+(G47*I47)+(G48*I48)+(G49*I49)</f>
        <v>0</v>
      </c>
      <c r="C51" s="123"/>
      <c r="D51" s="123"/>
      <c r="E51" s="123"/>
      <c r="F51" s="123"/>
      <c r="G51" s="121"/>
      <c r="H51" s="121"/>
      <c r="I51" s="121"/>
      <c r="J51" s="121"/>
    </row>
    <row r="52" spans="1:10">
      <c r="B52" s="121"/>
      <c r="C52" s="121"/>
      <c r="D52" s="121"/>
      <c r="E52" s="121"/>
      <c r="F52" s="121"/>
      <c r="G52" s="121"/>
      <c r="H52" s="121"/>
      <c r="I52" s="121"/>
      <c r="J52" s="121"/>
    </row>
    <row r="53" spans="1:10">
      <c r="B53" s="121"/>
      <c r="C53" s="121"/>
      <c r="D53" s="121"/>
      <c r="E53" s="121"/>
      <c r="F53" s="121"/>
      <c r="G53" s="121"/>
      <c r="H53" s="121"/>
      <c r="I53" s="121"/>
      <c r="J53" s="121"/>
    </row>
    <row r="54" spans="1:10" ht="23.25">
      <c r="A54" s="75" t="s">
        <v>4</v>
      </c>
      <c r="B54" s="121"/>
      <c r="C54" s="121"/>
      <c r="D54" s="121"/>
      <c r="E54" s="121"/>
      <c r="F54" s="121"/>
      <c r="G54" s="121"/>
      <c r="H54" s="121"/>
      <c r="I54" s="121"/>
      <c r="J54" s="121"/>
    </row>
    <row r="55" spans="1:10" ht="13.5" customHeight="1">
      <c r="A55" s="87"/>
      <c r="B55" s="87"/>
      <c r="C55" s="87"/>
      <c r="D55" s="87"/>
      <c r="E55" s="87"/>
      <c r="F55" s="87"/>
      <c r="G55" s="87"/>
      <c r="H55" s="87"/>
      <c r="I55" s="87"/>
      <c r="J55" s="87"/>
    </row>
    <row r="56" spans="1:10" s="35" customFormat="1" ht="13.5" customHeight="1" thickBot="1">
      <c r="A56" s="33"/>
      <c r="B56" s="33"/>
      <c r="C56" s="33"/>
      <c r="D56" s="33"/>
      <c r="E56" s="33"/>
      <c r="F56" s="33"/>
      <c r="G56" s="33"/>
      <c r="H56" s="33"/>
      <c r="I56" s="33"/>
      <c r="J56" s="33"/>
    </row>
    <row r="57" spans="1:10" ht="15.75" customHeight="1">
      <c r="A57" s="105"/>
      <c r="B57" s="106" t="s">
        <v>99</v>
      </c>
      <c r="C57" s="106"/>
      <c r="D57" s="106"/>
      <c r="E57" s="106"/>
      <c r="F57" s="106"/>
      <c r="G57" s="106"/>
      <c r="H57" s="106"/>
      <c r="I57" s="105"/>
      <c r="J57" s="105"/>
    </row>
    <row r="58" spans="1:10" s="3" customFormat="1" ht="12.75" customHeight="1">
      <c r="A58" s="86" t="s">
        <v>88</v>
      </c>
      <c r="B58" s="86" t="s">
        <v>47</v>
      </c>
      <c r="C58" s="86" t="s">
        <v>48</v>
      </c>
      <c r="D58" s="86" t="s">
        <v>49</v>
      </c>
      <c r="E58" s="86" t="s">
        <v>50</v>
      </c>
      <c r="F58" s="86" t="s">
        <v>51</v>
      </c>
      <c r="G58" s="86" t="s">
        <v>17</v>
      </c>
      <c r="H58" s="86" t="s">
        <v>25</v>
      </c>
      <c r="I58" s="86" t="s">
        <v>9</v>
      </c>
      <c r="J58" s="86" t="s">
        <v>18</v>
      </c>
    </row>
    <row r="59" spans="1:10">
      <c r="A59" s="51" t="s">
        <v>59</v>
      </c>
      <c r="B59" s="66"/>
      <c r="C59" s="67"/>
      <c r="D59" s="67"/>
      <c r="E59" s="67"/>
      <c r="F59" s="67"/>
      <c r="G59" s="67"/>
      <c r="H59" s="68"/>
      <c r="I59" s="131"/>
      <c r="J59" s="124"/>
    </row>
    <row r="60" spans="1:10">
      <c r="A60" s="51" t="s">
        <v>60</v>
      </c>
      <c r="B60" s="66"/>
      <c r="C60" s="67"/>
      <c r="D60" s="67"/>
      <c r="E60" s="67"/>
      <c r="F60" s="67"/>
      <c r="G60" s="67"/>
      <c r="H60" s="68"/>
      <c r="I60" s="131"/>
      <c r="J60" s="124"/>
    </row>
    <row r="61" spans="1:10">
      <c r="A61" s="51" t="s">
        <v>61</v>
      </c>
      <c r="B61" s="66"/>
      <c r="C61" s="67"/>
      <c r="D61" s="67"/>
      <c r="E61" s="67"/>
      <c r="F61" s="67"/>
      <c r="G61" s="67"/>
      <c r="H61" s="68"/>
      <c r="I61" s="131"/>
      <c r="J61" s="124"/>
    </row>
    <row r="62" spans="1:10">
      <c r="A62" s="51" t="s">
        <v>62</v>
      </c>
      <c r="B62" s="66"/>
      <c r="C62" s="67"/>
      <c r="D62" s="67"/>
      <c r="E62" s="67"/>
      <c r="F62" s="67"/>
      <c r="G62" s="67"/>
      <c r="H62" s="68"/>
      <c r="I62" s="131"/>
      <c r="J62" s="124"/>
    </row>
    <row r="63" spans="1:10">
      <c r="A63" s="51" t="s">
        <v>63</v>
      </c>
      <c r="B63" s="66"/>
      <c r="C63" s="67"/>
      <c r="D63" s="67"/>
      <c r="E63" s="67"/>
      <c r="F63" s="67"/>
      <c r="G63" s="67"/>
      <c r="H63" s="68"/>
      <c r="I63" s="131"/>
      <c r="J63" s="124"/>
    </row>
    <row r="64" spans="1:10">
      <c r="A64" s="51" t="s">
        <v>64</v>
      </c>
      <c r="B64" s="132"/>
      <c r="C64" s="133"/>
      <c r="D64" s="133"/>
      <c r="E64" s="133"/>
      <c r="F64" s="133"/>
      <c r="G64" s="133"/>
      <c r="H64" s="134"/>
      <c r="I64" s="131"/>
      <c r="J64" s="125"/>
    </row>
    <row r="65" spans="1:10" hidden="1">
      <c r="B65" s="121"/>
      <c r="C65" s="121"/>
      <c r="D65" s="121"/>
      <c r="E65" s="121"/>
      <c r="F65" s="121"/>
      <c r="G65" s="121"/>
      <c r="H65" s="121"/>
      <c r="I65" s="121"/>
      <c r="J65" s="121"/>
    </row>
    <row r="66" spans="1:10" ht="15.75" thickBot="1">
      <c r="B66" s="121"/>
      <c r="C66" s="121"/>
      <c r="D66" s="121"/>
      <c r="E66" s="121"/>
      <c r="F66" s="121"/>
      <c r="G66" s="121"/>
      <c r="H66" s="121"/>
      <c r="I66" s="121"/>
      <c r="J66" s="121"/>
    </row>
    <row r="67" spans="1:10" s="27" customFormat="1" ht="15.75" thickBot="1">
      <c r="A67" s="27" t="s">
        <v>28</v>
      </c>
      <c r="B67" s="126">
        <f>(G59*I59)+(G60*I60)+(G61*I61)+(G62*I62)+(G63*I63)+(G64*I64)</f>
        <v>0</v>
      </c>
      <c r="C67" s="123"/>
      <c r="D67" s="123"/>
      <c r="E67" s="123"/>
      <c r="F67" s="123"/>
      <c r="G67" s="121"/>
      <c r="H67" s="121"/>
      <c r="I67" s="121"/>
      <c r="J67" s="121"/>
    </row>
    <row r="68" spans="1:10">
      <c r="B68" s="121"/>
      <c r="C68" s="121"/>
      <c r="D68" s="121"/>
      <c r="E68" s="121"/>
      <c r="F68" s="121"/>
      <c r="G68" s="121"/>
      <c r="H68" s="121"/>
      <c r="I68" s="121"/>
      <c r="J68" s="121"/>
    </row>
    <row r="69" spans="1:10">
      <c r="B69" s="121"/>
      <c r="C69" s="121"/>
      <c r="D69" s="121"/>
      <c r="E69" s="121"/>
      <c r="F69" s="121"/>
      <c r="G69" s="121"/>
      <c r="H69" s="121"/>
      <c r="I69" s="121"/>
      <c r="J69" s="121"/>
    </row>
    <row r="70" spans="1:10" ht="23.25">
      <c r="A70" s="75" t="s">
        <v>5</v>
      </c>
      <c r="B70" s="121"/>
      <c r="C70" s="121"/>
      <c r="D70" s="121"/>
      <c r="E70" s="121"/>
      <c r="F70" s="121"/>
      <c r="G70" s="121"/>
      <c r="H70" s="121"/>
      <c r="I70" s="121"/>
      <c r="J70" s="121"/>
    </row>
    <row r="71" spans="1:10" ht="13.5" customHeight="1">
      <c r="A71" s="87"/>
      <c r="B71" s="87"/>
      <c r="C71" s="87"/>
      <c r="D71" s="87"/>
      <c r="E71" s="87"/>
      <c r="F71" s="87"/>
      <c r="G71" s="87"/>
      <c r="H71" s="87"/>
      <c r="I71" s="87"/>
      <c r="J71" s="87"/>
    </row>
    <row r="72" spans="1:10" s="35" customFormat="1" ht="13.5" customHeight="1" thickBot="1">
      <c r="A72" s="33"/>
      <c r="B72" s="33"/>
      <c r="C72" s="33"/>
      <c r="D72" s="33"/>
      <c r="E72" s="33"/>
      <c r="F72" s="33"/>
      <c r="G72" s="33"/>
      <c r="H72" s="33"/>
      <c r="I72" s="33"/>
      <c r="J72" s="33"/>
    </row>
    <row r="73" spans="1:10" ht="15.75" customHeight="1">
      <c r="A73" s="105"/>
      <c r="B73" s="106" t="s">
        <v>99</v>
      </c>
      <c r="C73" s="106"/>
      <c r="D73" s="106"/>
      <c r="E73" s="106"/>
      <c r="F73" s="106"/>
      <c r="G73" s="106"/>
      <c r="H73" s="106"/>
      <c r="I73" s="105"/>
      <c r="J73" s="105"/>
    </row>
    <row r="74" spans="1:10" s="3" customFormat="1" ht="12.75" customHeight="1">
      <c r="A74" s="86" t="s">
        <v>88</v>
      </c>
      <c r="B74" s="86" t="s">
        <v>47</v>
      </c>
      <c r="C74" s="86" t="s">
        <v>48</v>
      </c>
      <c r="D74" s="86" t="s">
        <v>49</v>
      </c>
      <c r="E74" s="86" t="s">
        <v>50</v>
      </c>
      <c r="F74" s="86" t="s">
        <v>51</v>
      </c>
      <c r="G74" s="86" t="s">
        <v>17</v>
      </c>
      <c r="H74" s="86" t="s">
        <v>25</v>
      </c>
      <c r="I74" s="86" t="s">
        <v>9</v>
      </c>
      <c r="J74" s="86" t="s">
        <v>18</v>
      </c>
    </row>
    <row r="75" spans="1:10">
      <c r="A75" s="51" t="s">
        <v>65</v>
      </c>
      <c r="B75" s="66"/>
      <c r="C75" s="67"/>
      <c r="D75" s="67"/>
      <c r="E75" s="67"/>
      <c r="F75" s="67"/>
      <c r="G75" s="67"/>
      <c r="H75" s="68"/>
      <c r="I75" s="131"/>
      <c r="J75" s="124"/>
    </row>
    <row r="76" spans="1:10">
      <c r="A76" s="51" t="s">
        <v>66</v>
      </c>
      <c r="B76" s="66"/>
      <c r="C76" s="67"/>
      <c r="D76" s="67"/>
      <c r="E76" s="67"/>
      <c r="F76" s="67"/>
      <c r="G76" s="67"/>
      <c r="H76" s="68"/>
      <c r="I76" s="131"/>
      <c r="J76" s="124"/>
    </row>
    <row r="77" spans="1:10">
      <c r="A77" s="51" t="s">
        <v>67</v>
      </c>
      <c r="B77" s="66"/>
      <c r="C77" s="67"/>
      <c r="D77" s="67"/>
      <c r="E77" s="67"/>
      <c r="F77" s="67"/>
      <c r="G77" s="67"/>
      <c r="H77" s="68"/>
      <c r="I77" s="131"/>
      <c r="J77" s="124"/>
    </row>
    <row r="78" spans="1:10">
      <c r="A78" s="51" t="s">
        <v>68</v>
      </c>
      <c r="B78" s="66"/>
      <c r="C78" s="67"/>
      <c r="D78" s="67"/>
      <c r="E78" s="67"/>
      <c r="F78" s="67"/>
      <c r="G78" s="67"/>
      <c r="H78" s="68"/>
      <c r="I78" s="131"/>
      <c r="J78" s="124"/>
    </row>
    <row r="79" spans="1:10">
      <c r="A79" s="51" t="s">
        <v>69</v>
      </c>
      <c r="B79" s="66"/>
      <c r="C79" s="67"/>
      <c r="D79" s="67"/>
      <c r="E79" s="67"/>
      <c r="F79" s="67"/>
      <c r="G79" s="67"/>
      <c r="H79" s="68"/>
      <c r="I79" s="131"/>
      <c r="J79" s="125"/>
    </row>
    <row r="80" spans="1:10" ht="15.75" thickBot="1">
      <c r="A80" s="3"/>
      <c r="B80" s="121"/>
      <c r="C80" s="121"/>
      <c r="D80" s="121"/>
      <c r="E80" s="121"/>
      <c r="F80" s="121"/>
      <c r="G80" s="121"/>
      <c r="H80" s="121"/>
      <c r="I80" s="121"/>
      <c r="J80" s="121"/>
    </row>
    <row r="81" spans="1:10" s="27" customFormat="1" ht="15.75" thickBot="1">
      <c r="A81" s="27" t="s">
        <v>29</v>
      </c>
      <c r="B81" s="126">
        <f>(G75*I75)+(G76*I76)+(G77*I77)+(G78*I78)+(G79*I79)</f>
        <v>0</v>
      </c>
      <c r="C81" s="123"/>
      <c r="D81" s="123"/>
      <c r="E81" s="123"/>
      <c r="F81" s="123"/>
      <c r="G81" s="121"/>
      <c r="H81" s="121"/>
      <c r="I81" s="121"/>
      <c r="J81" s="121"/>
    </row>
    <row r="82" spans="1:10">
      <c r="B82" s="121"/>
      <c r="C82" s="121"/>
      <c r="D82" s="121"/>
      <c r="E82" s="121"/>
      <c r="F82" s="121"/>
      <c r="G82" s="121"/>
      <c r="H82" s="121"/>
      <c r="I82" s="121"/>
      <c r="J82" s="121"/>
    </row>
    <row r="83" spans="1:10">
      <c r="B83" s="121"/>
      <c r="C83" s="121"/>
      <c r="D83" s="121"/>
      <c r="E83" s="121"/>
      <c r="F83" s="121"/>
      <c r="G83" s="135"/>
      <c r="H83" s="121"/>
      <c r="I83" s="121"/>
      <c r="J83" s="121"/>
    </row>
    <row r="84" spans="1:10" ht="23.25">
      <c r="A84" s="75" t="s">
        <v>6</v>
      </c>
      <c r="B84" s="121"/>
      <c r="C84" s="121"/>
      <c r="D84" s="121"/>
      <c r="E84" s="121"/>
      <c r="F84" s="121"/>
      <c r="G84" s="121"/>
      <c r="H84" s="121"/>
      <c r="I84" s="121"/>
      <c r="J84" s="121"/>
    </row>
    <row r="85" spans="1:10" ht="13.5" customHeight="1">
      <c r="A85" s="87"/>
      <c r="B85" s="87"/>
      <c r="C85" s="87"/>
      <c r="D85" s="87"/>
      <c r="E85" s="87"/>
      <c r="F85" s="87"/>
      <c r="G85" s="87"/>
      <c r="H85" s="87"/>
      <c r="I85" s="87"/>
      <c r="J85" s="87"/>
    </row>
    <row r="86" spans="1:10" s="35" customFormat="1" ht="13.5" customHeight="1" thickBot="1">
      <c r="A86" s="33"/>
      <c r="B86" s="33"/>
      <c r="C86" s="33"/>
      <c r="D86" s="33"/>
      <c r="E86" s="33"/>
      <c r="F86" s="33"/>
      <c r="G86" s="33"/>
      <c r="H86" s="33"/>
      <c r="I86" s="33"/>
      <c r="J86" s="33"/>
    </row>
    <row r="87" spans="1:10" ht="15.75" customHeight="1">
      <c r="A87" s="105"/>
      <c r="B87" s="106" t="s">
        <v>99</v>
      </c>
      <c r="C87" s="106"/>
      <c r="D87" s="106"/>
      <c r="E87" s="106"/>
      <c r="F87" s="106"/>
      <c r="G87" s="106"/>
      <c r="H87" s="106"/>
      <c r="I87" s="105"/>
      <c r="J87" s="105"/>
    </row>
    <row r="88" spans="1:10" s="3" customFormat="1" ht="12.75" customHeight="1">
      <c r="A88" s="86" t="s">
        <v>88</v>
      </c>
      <c r="B88" s="86" t="s">
        <v>47</v>
      </c>
      <c r="C88" s="86" t="s">
        <v>48</v>
      </c>
      <c r="D88" s="86" t="s">
        <v>49</v>
      </c>
      <c r="E88" s="86" t="s">
        <v>50</v>
      </c>
      <c r="F88" s="86" t="s">
        <v>51</v>
      </c>
      <c r="G88" s="86" t="s">
        <v>17</v>
      </c>
      <c r="H88" s="86" t="s">
        <v>25</v>
      </c>
      <c r="I88" s="86" t="s">
        <v>9</v>
      </c>
      <c r="J88" s="86" t="s">
        <v>18</v>
      </c>
    </row>
    <row r="89" spans="1:10">
      <c r="A89" s="51" t="s">
        <v>70</v>
      </c>
      <c r="B89" s="66"/>
      <c r="C89" s="67"/>
      <c r="D89" s="67"/>
      <c r="E89" s="67"/>
      <c r="F89" s="67"/>
      <c r="G89" s="67"/>
      <c r="H89" s="68"/>
      <c r="I89" s="131"/>
      <c r="J89" s="124"/>
    </row>
    <row r="90" spans="1:10">
      <c r="A90" s="51" t="s">
        <v>71</v>
      </c>
      <c r="B90" s="66"/>
      <c r="C90" s="67"/>
      <c r="D90" s="67"/>
      <c r="E90" s="67"/>
      <c r="F90" s="67"/>
      <c r="G90" s="67"/>
      <c r="H90" s="68"/>
      <c r="I90" s="131"/>
      <c r="J90" s="124"/>
    </row>
    <row r="91" spans="1:10">
      <c r="A91" s="51" t="s">
        <v>72</v>
      </c>
      <c r="B91" s="66"/>
      <c r="C91" s="67"/>
      <c r="D91" s="67"/>
      <c r="E91" s="67"/>
      <c r="F91" s="67"/>
      <c r="G91" s="67"/>
      <c r="H91" s="68"/>
      <c r="I91" s="131"/>
      <c r="J91" s="124"/>
    </row>
    <row r="92" spans="1:10">
      <c r="A92" s="51" t="s">
        <v>73</v>
      </c>
      <c r="B92" s="66"/>
      <c r="C92" s="67"/>
      <c r="D92" s="67"/>
      <c r="E92" s="67"/>
      <c r="F92" s="67"/>
      <c r="G92" s="67"/>
      <c r="H92" s="68"/>
      <c r="I92" s="131"/>
      <c r="J92" s="124"/>
    </row>
    <row r="93" spans="1:10">
      <c r="A93" s="51"/>
      <c r="B93" s="66"/>
      <c r="C93" s="67"/>
      <c r="D93" s="67"/>
      <c r="E93" s="67"/>
      <c r="F93" s="67"/>
      <c r="G93" s="67"/>
      <c r="H93" s="68"/>
      <c r="I93" s="131"/>
      <c r="J93" s="125"/>
    </row>
    <row r="94" spans="1:10" ht="15.75" thickBot="1">
      <c r="B94" s="121"/>
      <c r="C94" s="121"/>
      <c r="D94" s="121"/>
      <c r="E94" s="121"/>
      <c r="F94" s="121"/>
      <c r="G94" s="121"/>
      <c r="H94" s="121"/>
      <c r="I94" s="121"/>
      <c r="J94" s="121"/>
    </row>
    <row r="95" spans="1:10" s="27" customFormat="1" ht="15.75" thickBot="1">
      <c r="A95" s="27" t="s">
        <v>30</v>
      </c>
      <c r="B95" s="126">
        <f>(G89*I89)+(G90*I90)+(G91*I91)+(G92*I92)+(G93*I93)</f>
        <v>0</v>
      </c>
      <c r="C95" s="123"/>
      <c r="D95" s="123"/>
      <c r="E95" s="123"/>
      <c r="F95" s="123"/>
      <c r="G95" s="121"/>
      <c r="H95" s="121"/>
      <c r="I95" s="121"/>
      <c r="J95" s="121"/>
    </row>
    <row r="96" spans="1:10">
      <c r="B96" s="121"/>
      <c r="C96" s="121"/>
      <c r="D96" s="121"/>
      <c r="E96" s="121"/>
      <c r="F96" s="121"/>
      <c r="G96" s="121"/>
      <c r="H96" s="121"/>
      <c r="I96" s="121"/>
      <c r="J96" s="121"/>
    </row>
    <row r="97" spans="1:10">
      <c r="B97" s="121"/>
      <c r="C97" s="121"/>
      <c r="D97" s="121"/>
      <c r="E97" s="121"/>
      <c r="F97" s="121"/>
      <c r="G97" s="121"/>
      <c r="H97" s="121"/>
      <c r="I97" s="121"/>
      <c r="J97" s="121"/>
    </row>
    <row r="98" spans="1:10">
      <c r="A98" s="17" t="s">
        <v>32</v>
      </c>
      <c r="B98" s="121"/>
      <c r="C98" s="121"/>
      <c r="D98" s="121"/>
      <c r="E98" s="121"/>
      <c r="F98" s="121"/>
      <c r="G98" s="121"/>
      <c r="H98" s="121"/>
      <c r="I98" s="121"/>
      <c r="J98" s="121"/>
    </row>
    <row r="99" spans="1:10" ht="15.75" thickBot="1">
      <c r="A99" s="74" t="s">
        <v>16</v>
      </c>
      <c r="B99" s="155" t="s">
        <v>36</v>
      </c>
      <c r="C99" s="155"/>
      <c r="D99" s="155"/>
      <c r="E99" s="155"/>
      <c r="F99" s="73"/>
      <c r="G99" s="156" t="s">
        <v>33</v>
      </c>
      <c r="H99" s="156"/>
      <c r="I99" s="74" t="s">
        <v>34</v>
      </c>
      <c r="J99" s="74" t="s">
        <v>35</v>
      </c>
    </row>
    <row r="100" spans="1:10" s="7" customFormat="1">
      <c r="A100" s="108" t="s">
        <v>37</v>
      </c>
      <c r="B100" s="158" t="s">
        <v>38</v>
      </c>
      <c r="C100" s="159"/>
      <c r="D100" s="159"/>
      <c r="E100" s="159"/>
      <c r="F100" s="160"/>
      <c r="G100" s="157" t="s">
        <v>39</v>
      </c>
      <c r="H100" s="157"/>
      <c r="I100" s="109">
        <v>38898</v>
      </c>
      <c r="J100" s="110" t="s">
        <v>110</v>
      </c>
    </row>
    <row r="101" spans="1:10">
      <c r="A101" s="70"/>
      <c r="B101" s="151"/>
      <c r="C101" s="153"/>
      <c r="D101" s="153"/>
      <c r="E101" s="153"/>
      <c r="F101" s="152"/>
      <c r="G101" s="151"/>
      <c r="H101" s="152"/>
      <c r="I101" s="37"/>
      <c r="J101" s="69"/>
    </row>
    <row r="102" spans="1:10">
      <c r="A102" s="70"/>
      <c r="B102" s="151"/>
      <c r="C102" s="153"/>
      <c r="D102" s="153"/>
      <c r="E102" s="153"/>
      <c r="F102" s="152"/>
      <c r="G102" s="151"/>
      <c r="H102" s="152"/>
      <c r="I102" s="37"/>
      <c r="J102" s="69"/>
    </row>
    <row r="103" spans="1:10">
      <c r="A103" s="70"/>
      <c r="B103" s="151"/>
      <c r="C103" s="153"/>
      <c r="D103" s="153"/>
      <c r="E103" s="153"/>
      <c r="F103" s="152"/>
      <c r="G103" s="151"/>
      <c r="H103" s="152"/>
      <c r="I103" s="37"/>
      <c r="J103" s="69"/>
    </row>
    <row r="104" spans="1:10">
      <c r="A104" s="70"/>
      <c r="B104" s="151"/>
      <c r="C104" s="153"/>
      <c r="D104" s="153"/>
      <c r="E104" s="153"/>
      <c r="F104" s="152"/>
      <c r="G104" s="151"/>
      <c r="H104" s="152"/>
      <c r="I104" s="37"/>
      <c r="J104" s="69"/>
    </row>
    <row r="105" spans="1:10">
      <c r="A105" s="72"/>
      <c r="B105" s="148"/>
      <c r="C105" s="149"/>
      <c r="D105" s="149"/>
      <c r="E105" s="149"/>
      <c r="F105" s="150"/>
      <c r="G105" s="148"/>
      <c r="H105" s="150"/>
      <c r="I105" s="38"/>
      <c r="J105" s="71"/>
    </row>
    <row r="106" spans="1:10">
      <c r="B106" s="12"/>
      <c r="C106" s="12"/>
      <c r="D106" s="12"/>
      <c r="E106" s="12"/>
      <c r="F106" s="12"/>
      <c r="G106" s="12"/>
      <c r="H106" s="12"/>
      <c r="I106" s="12"/>
    </row>
    <row r="107" spans="1:10">
      <c r="B107" s="1"/>
      <c r="C107" s="1"/>
      <c r="D107" s="1"/>
      <c r="E107" s="1"/>
      <c r="F107" s="1"/>
      <c r="G107" s="1"/>
      <c r="H107" s="1"/>
      <c r="I107" s="1"/>
    </row>
  </sheetData>
  <mergeCells count="15">
    <mergeCell ref="B14:C14"/>
    <mergeCell ref="B99:E99"/>
    <mergeCell ref="G99:H99"/>
    <mergeCell ref="G100:H100"/>
    <mergeCell ref="B100:F100"/>
    <mergeCell ref="B105:F105"/>
    <mergeCell ref="G101:H101"/>
    <mergeCell ref="G102:H102"/>
    <mergeCell ref="G103:H103"/>
    <mergeCell ref="G104:H104"/>
    <mergeCell ref="G105:H105"/>
    <mergeCell ref="B101:F101"/>
    <mergeCell ref="B102:F102"/>
    <mergeCell ref="B103:F103"/>
    <mergeCell ref="B104:F104"/>
  </mergeCells>
  <conditionalFormatting sqref="B16:H20">
    <cfRule type="colorScale" priority="16">
      <formula>MAX(IF(ISBLANK($B$16:$H$20), "", IF(ISERROR($B$16:$H$20), "", $B$16:$H$20)))</formula>
      <colorScale>
        <cfvo type="min" val="0"/>
        <cfvo type="percent" val="50"/>
        <cfvo type="max" val="0"/>
        <color rgb="FFF8696B"/>
        <color rgb="FFFFEB84"/>
        <color rgb="FF63BE7B"/>
      </colorScale>
    </cfRule>
    <cfRule type="top10" dxfId="3" priority="15" percent="1" rank="10"/>
    <cfRule type="top10" dxfId="2" priority="14" percent="1" bottom="1" rank="10"/>
  </conditionalFormatting>
  <conditionalFormatting sqref="B30:H34">
    <cfRule type="colorScale" priority="13">
      <formula>MAX(IF(ISBLANK($B$30:$H$34), "", IF(ISERROR($B$30:$H$34), "", $B$30:$H$34)))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B44:H48">
    <cfRule type="colorScale" priority="12">
      <formula>MAX(IF(ISBLANK($B$44:$H$48), "", IF(ISERROR($B$44:$H$48), "", $B$44:$H$48)))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B59:H66">
    <cfRule type="colorScale" priority="11">
      <formula>MAX(IF(ISBLANK($B$59:$H$66), "", IF(ISERROR($B$59:$H$66), "", $B$59:$H$66)))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B75:H79">
    <cfRule type="colorScale" priority="10">
      <formula>MAX(IF(ISBLANK($B$75:$H$79), "", IF(ISERROR($B$75:$H$79), "", $B$75:$H$79)))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B89:H92">
    <cfRule type="colorScale" priority="9">
      <formula>MAX(IF(ISBLANK($B$89:$H$92), "", IF(ISERROR($B$89:$H$92), "", $B$89:$H$92)))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B16:B20">
    <cfRule type="colorScale" priority="8">
      <formula>MAX(IF(ISBLANK($B$16:$B$20), "", IF(ISERROR($B$16:$B$20), "", $B$16:$B$20)))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C16:C20">
    <cfRule type="colorScale" priority="7">
      <formula>MAX(IF(ISBLANK($C$16:$C$20), "", IF(ISERROR($C$16:$C$20), "", $C$16:$C$20)))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D16:D20">
    <cfRule type="colorScale" priority="6">
      <formula>MAX(IF(ISBLANK($D$16:$D$20), "", IF(ISERROR($D$16:$D$20), "", $D$16:$D$20)))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E16:E20">
    <cfRule type="colorScale" priority="5">
      <formula>MAX(IF(ISBLANK($E$16:$E$20), "", IF(ISERROR($E$16:$E$20), "", $E$16:$E$20)))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F16:F20">
    <cfRule type="colorScale" priority="4">
      <formula>MAX(IF(ISBLANK($F$16:$F$20), "", IF(ISERROR($F$16:$F$20), "", $F$16:$F$20)))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G16:G20">
    <cfRule type="colorScale" priority="3">
      <formula>MAX(IF(ISBLANK($G$16:$G$20), "", IF(ISERROR($G$16:$G$20), "", $G$16:$G$20)))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H16:H20">
    <cfRule type="colorScale" priority="2">
      <formula>MAX(IF(ISBLANK($H$16:$H$20), "", IF(ISERROR($H$16:$H$20), "", $H$16:$H$20)))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B93:H93">
    <cfRule type="colorScale" priority="1">
      <formula>MAX(IF(ISBLANK($B$93:$H$93), "", IF(ISERROR($B$93:$H$93), "", $B$93:$H$93)))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133"/>
  <sheetViews>
    <sheetView showGridLines="0" workbookViewId="0"/>
  </sheetViews>
  <sheetFormatPr defaultRowHeight="15"/>
  <cols>
    <col min="1" max="1" width="50.140625" customWidth="1"/>
    <col min="2" max="2" width="19.28515625" customWidth="1"/>
    <col min="3" max="6" width="18.28515625" customWidth="1"/>
  </cols>
  <sheetData>
    <row r="1" spans="1:7">
      <c r="A1" s="17" t="s">
        <v>40</v>
      </c>
      <c r="B1" s="32" t="s">
        <v>10</v>
      </c>
    </row>
    <row r="2" spans="1:7" ht="12.75" customHeight="1">
      <c r="A2" s="39" t="s">
        <v>96</v>
      </c>
      <c r="B2" s="30">
        <f>SUM(B10:F10)</f>
        <v>1873466</v>
      </c>
    </row>
    <row r="3" spans="1:7" ht="12.75" customHeight="1">
      <c r="A3" s="16" t="s">
        <v>97</v>
      </c>
      <c r="B3" s="44">
        <v>38899</v>
      </c>
    </row>
    <row r="4" spans="1:7" ht="12.75" customHeight="1">
      <c r="A4" s="39" t="s">
        <v>98</v>
      </c>
      <c r="B4" s="26" t="s">
        <v>13</v>
      </c>
    </row>
    <row r="5" spans="1:7" ht="12.75" customHeight="1"/>
    <row r="6" spans="1:7" s="2" customFormat="1" ht="42" customHeight="1">
      <c r="A6" s="75" t="s">
        <v>45</v>
      </c>
      <c r="B6"/>
      <c r="C6" s="7"/>
      <c r="D6"/>
      <c r="E6"/>
      <c r="F6"/>
      <c r="G6"/>
    </row>
    <row r="7" spans="1:7" s="2" customFormat="1" ht="13.5" customHeight="1">
      <c r="A7" s="161"/>
      <c r="B7" s="161"/>
      <c r="C7" s="161"/>
      <c r="D7" s="161"/>
      <c r="E7" s="161"/>
      <c r="F7" s="161"/>
      <c r="G7" s="161"/>
    </row>
    <row r="8" spans="1:7" s="35" customFormat="1" ht="23.25" customHeight="1" thickBot="1">
      <c r="A8" s="33"/>
      <c r="B8" s="20" t="s">
        <v>108</v>
      </c>
      <c r="C8" s="33"/>
      <c r="D8" s="33"/>
      <c r="E8" s="33"/>
      <c r="F8" s="33"/>
      <c r="G8" s="33"/>
    </row>
    <row r="9" spans="1:7" ht="26.25">
      <c r="A9" s="136"/>
      <c r="B9" s="137" t="s">
        <v>90</v>
      </c>
      <c r="C9" s="137" t="s">
        <v>91</v>
      </c>
      <c r="D9" s="137" t="s">
        <v>92</v>
      </c>
      <c r="E9" s="137" t="s">
        <v>93</v>
      </c>
      <c r="F9" s="137" t="s">
        <v>94</v>
      </c>
      <c r="G9" s="137" t="s">
        <v>95</v>
      </c>
    </row>
    <row r="10" spans="1:7">
      <c r="A10" s="47" t="s">
        <v>41</v>
      </c>
      <c r="B10" s="89">
        <f>'Vendor Performance Summary'!B8</f>
        <v>560500</v>
      </c>
      <c r="C10" s="96">
        <v>29823</v>
      </c>
      <c r="D10" s="96">
        <v>1224220</v>
      </c>
      <c r="E10" s="96">
        <v>15502</v>
      </c>
      <c r="F10" s="96">
        <v>43421</v>
      </c>
      <c r="G10" s="49"/>
    </row>
    <row r="11" spans="1:7">
      <c r="A11" s="47" t="s">
        <v>42</v>
      </c>
      <c r="B11" s="90">
        <v>2</v>
      </c>
      <c r="C11" s="93">
        <v>4</v>
      </c>
      <c r="D11" s="93">
        <v>1</v>
      </c>
      <c r="E11" s="94">
        <v>5</v>
      </c>
      <c r="F11" s="94">
        <v>3</v>
      </c>
      <c r="G11" s="95"/>
    </row>
    <row r="12" spans="1:7">
      <c r="A12" s="47" t="s">
        <v>43</v>
      </c>
      <c r="B12" s="90">
        <v>1</v>
      </c>
      <c r="C12" s="93">
        <v>1</v>
      </c>
      <c r="D12" s="93">
        <v>1</v>
      </c>
      <c r="E12" s="94">
        <v>2</v>
      </c>
      <c r="F12" s="94">
        <v>2</v>
      </c>
      <c r="G12" s="95"/>
    </row>
    <row r="13" spans="1:7">
      <c r="A13" s="47" t="s">
        <v>1</v>
      </c>
      <c r="B13" s="90">
        <v>2.7</v>
      </c>
      <c r="C13" s="93">
        <v>1</v>
      </c>
      <c r="D13" s="93">
        <v>3</v>
      </c>
      <c r="E13" s="93">
        <v>4</v>
      </c>
      <c r="F13" s="93">
        <v>3</v>
      </c>
      <c r="G13" s="95">
        <v>0.3</v>
      </c>
    </row>
    <row r="14" spans="1:7">
      <c r="A14" s="47" t="s">
        <v>2</v>
      </c>
      <c r="B14" s="90">
        <v>2</v>
      </c>
      <c r="C14" s="93">
        <v>2</v>
      </c>
      <c r="D14" s="93">
        <v>4.5</v>
      </c>
      <c r="E14" s="94">
        <v>2</v>
      </c>
      <c r="F14" s="94">
        <v>4</v>
      </c>
      <c r="G14" s="95">
        <v>0.2</v>
      </c>
    </row>
    <row r="15" spans="1:7">
      <c r="A15" s="47" t="s">
        <v>3</v>
      </c>
      <c r="B15" s="90">
        <v>2.8</v>
      </c>
      <c r="C15" s="93">
        <v>4</v>
      </c>
      <c r="D15" s="93">
        <v>3.8</v>
      </c>
      <c r="E15" s="94">
        <v>1</v>
      </c>
      <c r="F15" s="94">
        <v>2.4</v>
      </c>
      <c r="G15" s="95">
        <v>0.2</v>
      </c>
    </row>
    <row r="16" spans="1:7">
      <c r="A16" s="47" t="s">
        <v>4</v>
      </c>
      <c r="B16" s="91">
        <v>1.3</v>
      </c>
      <c r="C16" s="94">
        <v>3</v>
      </c>
      <c r="D16" s="93">
        <v>3.4</v>
      </c>
      <c r="E16" s="94">
        <v>3</v>
      </c>
      <c r="F16" s="94">
        <v>2</v>
      </c>
      <c r="G16" s="95">
        <v>0.1</v>
      </c>
    </row>
    <row r="17" spans="1:7">
      <c r="A17" s="47" t="s">
        <v>5</v>
      </c>
      <c r="B17" s="91">
        <v>4.0999999999999996</v>
      </c>
      <c r="C17" s="94">
        <v>5</v>
      </c>
      <c r="D17" s="94">
        <v>4.5999999999999996</v>
      </c>
      <c r="E17" s="94">
        <v>4.5</v>
      </c>
      <c r="F17" s="94">
        <v>3.4</v>
      </c>
      <c r="G17" s="95">
        <v>0.1</v>
      </c>
    </row>
    <row r="18" spans="1:7">
      <c r="A18" s="47" t="s">
        <v>6</v>
      </c>
      <c r="B18" s="90">
        <v>2.9</v>
      </c>
      <c r="C18" s="93">
        <v>2.1</v>
      </c>
      <c r="D18" s="93">
        <v>3.2</v>
      </c>
      <c r="E18" s="93">
        <v>3.3</v>
      </c>
      <c r="F18" s="94">
        <v>3</v>
      </c>
      <c r="G18" s="95">
        <v>0.1</v>
      </c>
    </row>
    <row r="19" spans="1:7">
      <c r="A19" s="48" t="s">
        <v>44</v>
      </c>
      <c r="B19" s="92">
        <f>(B13*$G$13)+(B14*$G$14)+(B15*$G$15)+(B16*$G$16)+(B17*$G$17)+(B18*$G$18)</f>
        <v>2.6</v>
      </c>
      <c r="C19" s="95">
        <f t="shared" ref="C19:F19" si="0">(C13*$G$13)+(C14*$G$14)+(C15*$G$15)+(C16*$G$16)+(C17*$G$17)+(C18*$G$18)</f>
        <v>2.5099999999999998</v>
      </c>
      <c r="D19" s="95">
        <f t="shared" si="0"/>
        <v>3.6799999999999997</v>
      </c>
      <c r="E19" s="95">
        <f t="shared" si="0"/>
        <v>2.8800000000000003</v>
      </c>
      <c r="F19" s="95">
        <f t="shared" si="0"/>
        <v>3.0199999999999996</v>
      </c>
      <c r="G19" s="94"/>
    </row>
    <row r="20" spans="1:7">
      <c r="A20" s="3"/>
      <c r="B20" s="3"/>
      <c r="C20" s="3"/>
      <c r="D20" s="3"/>
      <c r="E20" s="3"/>
      <c r="F20" s="3"/>
      <c r="G20" s="3"/>
    </row>
    <row r="21" spans="1:7">
      <c r="A21" s="3"/>
      <c r="B21" s="3"/>
      <c r="C21" s="3"/>
      <c r="D21" s="3"/>
      <c r="E21" s="3"/>
      <c r="F21" s="3"/>
      <c r="G21" s="3"/>
    </row>
    <row r="22" spans="1:7" ht="21">
      <c r="A22" s="8" t="s">
        <v>74</v>
      </c>
    </row>
    <row r="39" spans="1:7" s="9" customFormat="1" ht="16.5" customHeight="1">
      <c r="A39" s="9" t="s">
        <v>46</v>
      </c>
      <c r="B39"/>
      <c r="C39"/>
      <c r="D39"/>
      <c r="E39"/>
      <c r="F39"/>
      <c r="G39"/>
    </row>
    <row r="41" spans="1:7" ht="21">
      <c r="A41" s="9"/>
      <c r="B41" s="9"/>
      <c r="C41" s="9"/>
      <c r="D41" s="9"/>
      <c r="E41" s="9"/>
      <c r="F41" s="9"/>
      <c r="G41" s="9"/>
    </row>
    <row r="60" ht="15" customHeight="1"/>
    <row r="76" spans="1:7" ht="15.75" customHeight="1"/>
    <row r="77" spans="1:7" ht="15.75" thickBot="1">
      <c r="A77" s="13"/>
      <c r="B77" s="13"/>
      <c r="C77" s="13"/>
      <c r="D77" s="13"/>
      <c r="E77" s="13"/>
      <c r="F77" s="13"/>
      <c r="G77" s="10"/>
    </row>
    <row r="78" spans="1:7" ht="12.75" customHeight="1">
      <c r="A78" s="138"/>
      <c r="B78" s="139">
        <v>2004</v>
      </c>
      <c r="C78" s="139">
        <v>2005</v>
      </c>
      <c r="D78" s="139">
        <v>2006</v>
      </c>
      <c r="E78" s="13"/>
      <c r="F78" s="14"/>
      <c r="G78" s="15"/>
    </row>
    <row r="79" spans="1:7">
      <c r="A79" s="22" t="s">
        <v>1</v>
      </c>
      <c r="B79" s="97">
        <v>3.2</v>
      </c>
      <c r="C79" s="98">
        <v>3.2</v>
      </c>
      <c r="D79" s="99">
        <v>3.4</v>
      </c>
      <c r="E79" s="13"/>
      <c r="F79" s="13"/>
      <c r="G79" s="10"/>
    </row>
    <row r="80" spans="1:7">
      <c r="A80" s="22" t="s">
        <v>2</v>
      </c>
      <c r="B80" s="97">
        <v>2.2999999999999998</v>
      </c>
      <c r="C80" s="98">
        <v>3.2</v>
      </c>
      <c r="D80" s="99">
        <v>4.5</v>
      </c>
      <c r="E80" s="13"/>
      <c r="F80" s="13"/>
      <c r="G80" s="10"/>
    </row>
    <row r="81" spans="1:7">
      <c r="A81" s="22" t="s">
        <v>3</v>
      </c>
      <c r="B81" s="97">
        <v>3.4</v>
      </c>
      <c r="C81" s="98">
        <v>2.2999999999999998</v>
      </c>
      <c r="D81" s="99">
        <v>2.2000000000000002</v>
      </c>
      <c r="E81" s="88"/>
      <c r="F81" s="88"/>
      <c r="G81" s="10"/>
    </row>
    <row r="82" spans="1:7">
      <c r="A82" s="22" t="s">
        <v>4</v>
      </c>
      <c r="B82" s="97">
        <v>4.2</v>
      </c>
      <c r="C82" s="98">
        <v>3.4</v>
      </c>
      <c r="D82" s="99">
        <v>4.2</v>
      </c>
      <c r="E82" s="13"/>
      <c r="F82" s="13"/>
      <c r="G82" s="10"/>
    </row>
    <row r="83" spans="1:7">
      <c r="A83" s="22" t="s">
        <v>5</v>
      </c>
      <c r="B83" s="97">
        <v>4.5</v>
      </c>
      <c r="C83" s="98">
        <v>4.5</v>
      </c>
      <c r="D83" s="99">
        <v>4.5</v>
      </c>
      <c r="E83" s="13"/>
      <c r="F83" s="13"/>
      <c r="G83" s="10"/>
    </row>
    <row r="84" spans="1:7">
      <c r="A84" s="22" t="s">
        <v>6</v>
      </c>
      <c r="B84" s="97">
        <v>2.2000000000000002</v>
      </c>
      <c r="C84" s="98">
        <v>2.2000000000000002</v>
      </c>
      <c r="D84" s="99">
        <v>2.2000000000000002</v>
      </c>
      <c r="E84" s="13"/>
      <c r="F84" s="13"/>
      <c r="G84" s="10"/>
    </row>
    <row r="85" spans="1:7" ht="15.75" thickBot="1">
      <c r="A85" s="25" t="s">
        <v>75</v>
      </c>
      <c r="B85" s="100">
        <f>AVERAGE(B79:B84)</f>
        <v>3.3000000000000003</v>
      </c>
      <c r="C85" s="101">
        <f t="shared" ref="C85:D85" si="1">AVERAGE(C79:C84)</f>
        <v>3.1333333333333333</v>
      </c>
      <c r="D85" s="100">
        <f t="shared" si="1"/>
        <v>3.5</v>
      </c>
      <c r="E85" s="13"/>
      <c r="F85" s="13"/>
      <c r="G85" s="10"/>
    </row>
    <row r="86" spans="1:7" ht="15.75" thickBot="1">
      <c r="A86" s="23"/>
      <c r="B86" s="45"/>
      <c r="C86" s="46"/>
      <c r="D86" s="46"/>
      <c r="E86" s="13"/>
      <c r="F86" s="13"/>
      <c r="G86" s="10"/>
    </row>
    <row r="87" spans="1:7" ht="12.75" customHeight="1">
      <c r="A87" s="138"/>
      <c r="B87" s="139">
        <v>2004</v>
      </c>
      <c r="C87" s="139">
        <v>2005</v>
      </c>
      <c r="D87" s="139">
        <v>2006</v>
      </c>
      <c r="E87" s="13"/>
      <c r="F87" s="13"/>
      <c r="G87" s="10"/>
    </row>
    <row r="88" spans="1:7">
      <c r="A88" s="22" t="s">
        <v>1</v>
      </c>
      <c r="B88" s="99">
        <v>3.2</v>
      </c>
      <c r="C88" s="102">
        <v>3.2</v>
      </c>
      <c r="D88" s="99">
        <v>2.2999999999999998</v>
      </c>
      <c r="E88" s="13"/>
      <c r="F88" s="13"/>
      <c r="G88" s="10"/>
    </row>
    <row r="89" spans="1:7">
      <c r="A89" s="22" t="s">
        <v>2</v>
      </c>
      <c r="B89" s="99">
        <v>2.2999999999999998</v>
      </c>
      <c r="C89" s="102">
        <v>3.2</v>
      </c>
      <c r="D89" s="99">
        <v>2.2999999999999998</v>
      </c>
      <c r="E89" s="13"/>
      <c r="F89" s="13"/>
      <c r="G89" s="10"/>
    </row>
    <row r="90" spans="1:7">
      <c r="A90" s="22" t="s">
        <v>3</v>
      </c>
      <c r="B90" s="99">
        <v>3.4</v>
      </c>
      <c r="C90" s="102">
        <v>2.2999999999999998</v>
      </c>
      <c r="D90" s="99">
        <v>3.4</v>
      </c>
      <c r="E90" s="13"/>
      <c r="F90" s="13"/>
      <c r="G90" s="10"/>
    </row>
    <row r="91" spans="1:7">
      <c r="A91" s="22" t="s">
        <v>4</v>
      </c>
      <c r="B91" s="99">
        <v>3.2</v>
      </c>
      <c r="C91" s="102">
        <v>3.4</v>
      </c>
      <c r="D91" s="99">
        <v>3.2</v>
      </c>
      <c r="E91" s="13"/>
      <c r="F91" s="13"/>
      <c r="G91" s="10"/>
    </row>
    <row r="92" spans="1:7">
      <c r="A92" s="22" t="s">
        <v>5</v>
      </c>
      <c r="B92" s="99">
        <v>3.2</v>
      </c>
      <c r="C92" s="102">
        <v>4.5</v>
      </c>
      <c r="D92" s="99">
        <v>3.2</v>
      </c>
      <c r="E92" s="13"/>
      <c r="F92" s="13"/>
      <c r="G92" s="10"/>
    </row>
    <row r="93" spans="1:7" ht="15" customHeight="1">
      <c r="A93" s="22" t="s">
        <v>6</v>
      </c>
      <c r="B93" s="99">
        <v>2.2999999999999998</v>
      </c>
      <c r="C93" s="102">
        <v>2.2000000000000002</v>
      </c>
      <c r="D93" s="99">
        <v>2.2000000000000002</v>
      </c>
      <c r="E93" s="13"/>
      <c r="F93" s="13"/>
      <c r="G93" s="10"/>
    </row>
    <row r="94" spans="1:7" ht="15.75" thickBot="1">
      <c r="A94" s="25" t="s">
        <v>75</v>
      </c>
      <c r="B94" s="100">
        <f>AVERAGE(B88:B93)</f>
        <v>2.9333333333333336</v>
      </c>
      <c r="C94" s="101">
        <f t="shared" ref="C94" si="2">AVERAGE(C88:C93)</f>
        <v>3.1333333333333333</v>
      </c>
      <c r="D94" s="100">
        <f t="shared" ref="D94" si="3">AVERAGE(D88:D93)</f>
        <v>2.7666666666666662</v>
      </c>
      <c r="E94" s="13"/>
      <c r="F94" s="13"/>
      <c r="G94" s="10"/>
    </row>
    <row r="95" spans="1:7" ht="15.75" thickBot="1">
      <c r="A95" s="24"/>
      <c r="B95" s="46"/>
      <c r="C95" s="46"/>
      <c r="D95" s="46"/>
      <c r="E95" s="13"/>
      <c r="F95" s="13"/>
      <c r="G95" s="10"/>
    </row>
    <row r="96" spans="1:7" ht="12.75" customHeight="1">
      <c r="A96" s="138"/>
      <c r="B96" s="139">
        <v>2004</v>
      </c>
      <c r="C96" s="139">
        <v>2005</v>
      </c>
      <c r="D96" s="139">
        <v>2006</v>
      </c>
      <c r="E96" s="13"/>
      <c r="F96" s="13"/>
      <c r="G96" s="10"/>
    </row>
    <row r="97" spans="1:7">
      <c r="A97" s="22" t="s">
        <v>1</v>
      </c>
      <c r="B97" s="99">
        <v>3.4</v>
      </c>
      <c r="C97" s="102">
        <v>2.2999999999999998</v>
      </c>
      <c r="D97" s="99">
        <v>2.2999999999999998</v>
      </c>
      <c r="E97" s="13"/>
      <c r="F97" s="13"/>
      <c r="G97" s="10"/>
    </row>
    <row r="98" spans="1:7">
      <c r="A98" s="22" t="s">
        <v>2</v>
      </c>
      <c r="B98" s="99">
        <v>4.2</v>
      </c>
      <c r="C98" s="102">
        <v>3.4</v>
      </c>
      <c r="D98" s="99">
        <v>3.4</v>
      </c>
      <c r="E98" s="13"/>
      <c r="F98" s="13"/>
      <c r="G98" s="10"/>
    </row>
    <row r="99" spans="1:7">
      <c r="A99" s="22" t="s">
        <v>3</v>
      </c>
      <c r="B99" s="99">
        <v>4.5</v>
      </c>
      <c r="C99" s="102">
        <v>3.2</v>
      </c>
      <c r="D99" s="99">
        <v>4.2</v>
      </c>
      <c r="E99" s="13"/>
      <c r="F99" s="13"/>
      <c r="G99" s="10"/>
    </row>
    <row r="100" spans="1:7">
      <c r="A100" s="22" t="s">
        <v>4</v>
      </c>
      <c r="B100" s="99">
        <v>4.2</v>
      </c>
      <c r="C100" s="102">
        <v>3.2</v>
      </c>
      <c r="D100" s="99">
        <v>4.5</v>
      </c>
      <c r="E100" s="13"/>
      <c r="F100" s="13"/>
      <c r="G100" s="10"/>
    </row>
    <row r="101" spans="1:7">
      <c r="A101" s="22" t="s">
        <v>5</v>
      </c>
      <c r="B101" s="99">
        <v>4.5</v>
      </c>
      <c r="C101" s="102">
        <v>2.2999999999999998</v>
      </c>
      <c r="D101" s="99">
        <v>4.5</v>
      </c>
      <c r="E101" s="13"/>
      <c r="F101" s="13"/>
      <c r="G101" s="10"/>
    </row>
    <row r="102" spans="1:7">
      <c r="A102" s="22" t="s">
        <v>6</v>
      </c>
      <c r="B102" s="99">
        <v>2.2000000000000002</v>
      </c>
      <c r="C102" s="102">
        <v>2.2000000000000002</v>
      </c>
      <c r="D102" s="99">
        <v>2.2000000000000002</v>
      </c>
      <c r="E102" s="13"/>
      <c r="F102" s="13"/>
      <c r="G102" s="10"/>
    </row>
    <row r="103" spans="1:7" ht="15.75" thickBot="1">
      <c r="A103" s="25" t="s">
        <v>75</v>
      </c>
      <c r="B103" s="100">
        <f>AVERAGE(B97:B102)</f>
        <v>3.8333333333333335</v>
      </c>
      <c r="C103" s="101">
        <f t="shared" ref="C103" si="4">AVERAGE(C97:C102)</f>
        <v>2.7666666666666662</v>
      </c>
      <c r="D103" s="100">
        <f t="shared" ref="D103" si="5">AVERAGE(D97:D102)</f>
        <v>3.5166666666666662</v>
      </c>
      <c r="E103" s="13"/>
      <c r="F103" s="13"/>
      <c r="G103" s="10"/>
    </row>
    <row r="104" spans="1:7" ht="15.75" thickBot="1">
      <c r="A104" s="23"/>
      <c r="B104" s="46"/>
      <c r="C104" s="46"/>
      <c r="D104" s="46"/>
      <c r="E104" s="13"/>
      <c r="F104" s="13"/>
      <c r="G104" s="10"/>
    </row>
    <row r="105" spans="1:7" ht="12.75" customHeight="1">
      <c r="A105" s="138"/>
      <c r="B105" s="139">
        <v>2004</v>
      </c>
      <c r="C105" s="139">
        <v>2005</v>
      </c>
      <c r="D105" s="139">
        <v>2006</v>
      </c>
      <c r="E105" s="13"/>
      <c r="F105" s="13"/>
      <c r="G105" s="10"/>
    </row>
    <row r="106" spans="1:7">
      <c r="A106" s="22" t="s">
        <v>1</v>
      </c>
      <c r="B106" s="99">
        <v>3.4</v>
      </c>
      <c r="C106" s="102">
        <v>3.2</v>
      </c>
      <c r="D106" s="99">
        <v>2.2999999999999998</v>
      </c>
      <c r="E106" s="13"/>
      <c r="F106" s="13"/>
      <c r="G106" s="10"/>
    </row>
    <row r="107" spans="1:7">
      <c r="A107" s="22" t="s">
        <v>2</v>
      </c>
      <c r="B107" s="99">
        <v>4.2</v>
      </c>
      <c r="C107" s="102">
        <v>2.2999999999999998</v>
      </c>
      <c r="D107" s="99">
        <v>3.4</v>
      </c>
      <c r="E107" s="13"/>
      <c r="F107" s="13"/>
      <c r="G107" s="10"/>
    </row>
    <row r="108" spans="1:7">
      <c r="A108" s="22" t="s">
        <v>3</v>
      </c>
      <c r="B108" s="99">
        <v>4.5</v>
      </c>
      <c r="C108" s="102">
        <v>3.4</v>
      </c>
      <c r="D108" s="99">
        <v>4.2</v>
      </c>
      <c r="E108" s="13"/>
      <c r="F108" s="13"/>
      <c r="G108" s="10"/>
    </row>
    <row r="109" spans="1:7">
      <c r="A109" s="22" t="s">
        <v>4</v>
      </c>
      <c r="B109" s="99">
        <v>4.2</v>
      </c>
      <c r="C109" s="102">
        <v>3.2</v>
      </c>
      <c r="D109" s="99">
        <v>4.5</v>
      </c>
      <c r="E109" s="13"/>
      <c r="F109" s="13"/>
      <c r="G109" s="10"/>
    </row>
    <row r="110" spans="1:7">
      <c r="A110" s="22" t="s">
        <v>5</v>
      </c>
      <c r="B110" s="99">
        <v>4.5</v>
      </c>
      <c r="C110" s="102">
        <v>3.2</v>
      </c>
      <c r="D110" s="99">
        <v>4.5</v>
      </c>
      <c r="E110" s="13"/>
      <c r="F110" s="13"/>
      <c r="G110" s="10"/>
    </row>
    <row r="111" spans="1:7">
      <c r="A111" s="22" t="s">
        <v>6</v>
      </c>
      <c r="B111" s="99">
        <v>2.2000000000000002</v>
      </c>
      <c r="C111" s="102">
        <v>2.2999999999999998</v>
      </c>
      <c r="D111" s="99">
        <v>2.2000000000000002</v>
      </c>
      <c r="E111" s="13"/>
      <c r="F111" s="13"/>
      <c r="G111" s="10"/>
    </row>
    <row r="112" spans="1:7" ht="15.75" thickBot="1">
      <c r="A112" s="25" t="s">
        <v>75</v>
      </c>
      <c r="B112" s="100">
        <f>AVERAGE(B106:B111)</f>
        <v>3.8333333333333335</v>
      </c>
      <c r="C112" s="101">
        <f t="shared" ref="C112" si="6">AVERAGE(C106:C111)</f>
        <v>2.9333333333333336</v>
      </c>
      <c r="D112" s="100">
        <f t="shared" ref="D112" si="7">AVERAGE(D106:D111)</f>
        <v>3.5166666666666662</v>
      </c>
      <c r="E112" s="13"/>
      <c r="F112" s="13"/>
      <c r="G112" s="10"/>
    </row>
    <row r="113" spans="1:7" ht="15.75" thickBot="1">
      <c r="A113" s="23"/>
      <c r="B113" s="46"/>
      <c r="C113" s="46"/>
      <c r="D113" s="46"/>
      <c r="E113" s="13"/>
      <c r="F113" s="13"/>
      <c r="G113" s="10"/>
    </row>
    <row r="114" spans="1:7" ht="12.75" customHeight="1">
      <c r="A114" s="138"/>
      <c r="B114" s="139">
        <v>2004</v>
      </c>
      <c r="C114" s="139">
        <v>2005</v>
      </c>
      <c r="D114" s="139">
        <v>2006</v>
      </c>
      <c r="E114" s="13"/>
      <c r="F114" s="13"/>
      <c r="G114" s="10"/>
    </row>
    <row r="115" spans="1:7">
      <c r="A115" s="22" t="s">
        <v>1</v>
      </c>
      <c r="B115" s="99">
        <v>3.2</v>
      </c>
      <c r="C115" s="102">
        <v>3.2</v>
      </c>
      <c r="D115" s="99">
        <v>3.2</v>
      </c>
      <c r="E115" s="13"/>
      <c r="F115" s="13"/>
      <c r="G115" s="10"/>
    </row>
    <row r="116" spans="1:7">
      <c r="A116" s="22" t="s">
        <v>2</v>
      </c>
      <c r="B116" s="99">
        <v>2.2999999999999998</v>
      </c>
      <c r="C116" s="102">
        <v>3.2</v>
      </c>
      <c r="D116" s="99">
        <v>2.2999999999999998</v>
      </c>
      <c r="E116" s="13"/>
      <c r="F116" s="13"/>
      <c r="G116" s="10"/>
    </row>
    <row r="117" spans="1:7">
      <c r="A117" s="22" t="s">
        <v>3</v>
      </c>
      <c r="B117" s="99">
        <v>3.2</v>
      </c>
      <c r="C117" s="102">
        <v>3.2</v>
      </c>
      <c r="D117" s="99">
        <v>3.4</v>
      </c>
      <c r="E117" s="13"/>
      <c r="F117" s="13"/>
      <c r="G117" s="10"/>
    </row>
    <row r="118" spans="1:7">
      <c r="A118" s="22" t="s">
        <v>4</v>
      </c>
      <c r="B118" s="99">
        <v>3.2</v>
      </c>
      <c r="C118" s="102">
        <v>2.2999999999999998</v>
      </c>
      <c r="D118" s="99">
        <v>3.2</v>
      </c>
      <c r="E118" s="13"/>
      <c r="F118" s="13"/>
      <c r="G118" s="10"/>
    </row>
    <row r="119" spans="1:7">
      <c r="A119" s="22" t="s">
        <v>5</v>
      </c>
      <c r="B119" s="99">
        <v>2.2999999999999998</v>
      </c>
      <c r="C119" s="102">
        <v>3.2</v>
      </c>
      <c r="D119" s="99">
        <v>3.2</v>
      </c>
      <c r="E119" s="13"/>
      <c r="F119" s="13"/>
      <c r="G119" s="10"/>
    </row>
    <row r="120" spans="1:7">
      <c r="A120" s="22" t="s">
        <v>6</v>
      </c>
      <c r="B120" s="99">
        <v>3.4</v>
      </c>
      <c r="C120" s="102">
        <v>3.2</v>
      </c>
      <c r="D120" s="99">
        <v>2.2000000000000002</v>
      </c>
      <c r="E120" s="13"/>
      <c r="F120" s="13"/>
      <c r="G120" s="10"/>
    </row>
    <row r="121" spans="1:7" ht="15.75" thickBot="1">
      <c r="A121" s="25" t="s">
        <v>75</v>
      </c>
      <c r="B121" s="100">
        <f>AVERAGE(B115:B120)</f>
        <v>2.9333333333333331</v>
      </c>
      <c r="C121" s="101">
        <f t="shared" ref="C121" si="8">AVERAGE(C115:C120)</f>
        <v>3.0500000000000003</v>
      </c>
      <c r="D121" s="100">
        <f t="shared" ref="D121" si="9">AVERAGE(D115:D120)</f>
        <v>2.9166666666666665</v>
      </c>
      <c r="E121" s="13"/>
      <c r="F121" s="13"/>
      <c r="G121" s="10"/>
    </row>
    <row r="122" spans="1:7">
      <c r="A122" s="13"/>
      <c r="B122" s="13"/>
      <c r="C122" s="13"/>
      <c r="D122" s="13"/>
      <c r="E122" s="13"/>
      <c r="F122" s="13"/>
      <c r="G122" s="10"/>
    </row>
    <row r="123" spans="1:7">
      <c r="A123" s="13"/>
      <c r="B123" s="13"/>
      <c r="C123" s="13"/>
      <c r="D123" s="13"/>
      <c r="E123" s="13"/>
      <c r="F123" s="13"/>
      <c r="G123" s="10"/>
    </row>
    <row r="124" spans="1:7">
      <c r="A124" s="13"/>
      <c r="B124" s="13"/>
      <c r="C124" s="13"/>
      <c r="D124" s="13"/>
      <c r="E124" s="13"/>
      <c r="F124" s="13"/>
      <c r="G124" s="10"/>
    </row>
    <row r="125" spans="1:7">
      <c r="F125" s="13"/>
      <c r="G125" s="10"/>
    </row>
    <row r="126" spans="1:7">
      <c r="F126" s="13"/>
      <c r="G126" s="10"/>
    </row>
    <row r="127" spans="1:7">
      <c r="F127" s="13"/>
      <c r="G127" s="10"/>
    </row>
    <row r="128" spans="1:7">
      <c r="F128" s="13"/>
      <c r="G128" s="10"/>
    </row>
    <row r="129" spans="1:7">
      <c r="F129" s="13"/>
      <c r="G129" s="10"/>
    </row>
    <row r="130" spans="1:7">
      <c r="F130" s="13"/>
      <c r="G130" s="10"/>
    </row>
    <row r="131" spans="1:7">
      <c r="A131" s="13"/>
      <c r="B131" s="13"/>
      <c r="C131" s="13"/>
      <c r="D131" s="13"/>
      <c r="E131" s="13"/>
      <c r="F131" s="13"/>
      <c r="G131" s="10"/>
    </row>
    <row r="132" spans="1:7">
      <c r="A132" s="13"/>
      <c r="B132" s="13"/>
      <c r="C132" s="13"/>
      <c r="D132" s="13"/>
      <c r="E132" s="13"/>
      <c r="F132" s="13"/>
      <c r="G132" s="10"/>
    </row>
    <row r="133" spans="1:7">
      <c r="A133" s="13"/>
      <c r="B133" s="13"/>
      <c r="C133" s="13"/>
      <c r="D133" s="13"/>
      <c r="E133" s="13"/>
      <c r="F133" s="13"/>
    </row>
  </sheetData>
  <conditionalFormatting sqref="B11:F18">
    <cfRule type="colorScale" priority="8">
      <formula>MAX(IF(ISBLANK($B$11:$F$18), "", IF(ISERROR($B$11:$F$18), "", $B$11:$F$18)))</formula>
      <colorScale>
        <cfvo type="min" val="0"/>
        <cfvo type="percent" val="50"/>
        <cfvo type="max" val="0"/>
        <color rgb="FFF8696B"/>
        <color rgb="FFFFEB84"/>
        <color rgb="FF63BE7B"/>
      </colorScale>
    </cfRule>
    <cfRule type="top10" dxfId="1" priority="7" percent="1" rank="10"/>
    <cfRule type="top10" dxfId="0" priority="6" percent="1" bottom="1" rank="10"/>
  </conditionalFormatting>
  <conditionalFormatting sqref="B11:B18">
    <cfRule type="colorScale" priority="5">
      <formula>MAX(IF(ISBLANK($B$11:$B$18), "", IF(ISERROR($B$11:$B$18), "", $B$11:$B$18)))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C11:C18">
    <cfRule type="colorScale" priority="4">
      <formula>MAX(IF(ISBLANK($C$11:$C$18), "", IF(ISERROR($C$11:$C$18), "", $C$11:$C$18)))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D11:D18">
    <cfRule type="colorScale" priority="3">
      <formula>MAX(IF(ISBLANK($D$11:$D$18), "", IF(ISERROR($D$11:$D$18), "", $D$11:$D$18)))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E11:E18">
    <cfRule type="colorScale" priority="2">
      <formula>MAX(IF(ISBLANK($E$11:$E$18), "", IF(ISERROR($E$11:$E$18), "", $E$11:$E$18)))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conditionalFormatting sqref="F11:F18">
    <cfRule type="colorScale" priority="1">
      <formula>MAX(IF(ISBLANK($F$11:$F$18), "", IF(ISERROR($F$11:$F$18), "", $F$11:$F$18)))</formula>
      <colorScale>
        <cfvo type="min" val="0"/>
        <cfvo type="percent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5" orientation="landscape" r:id="rId1"/>
  <ignoredErrors>
    <ignoredError sqref="B85:D85 B94:D94 B103:D103 B112:D112 B121:D121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Vendor Performance Summary</vt:lpstr>
      <vt:lpstr>Vendor Detail</vt:lpstr>
      <vt:lpstr>Industry Summary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2006-11-09T16:54:34Z</dcterms:created>
  <dcterms:modified xsi:type="dcterms:W3CDTF">2006-11-13T22:27:41Z</dcterms:modified>
</cp:coreProperties>
</file>
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120" yWindow="30" windowWidth="15480" windowHeight="9225" tabRatio="811"/>
  </bookViews>
  <sheets>
    <sheet name="Summary" sheetId="2" r:id="rId1"/>
    <sheet name="Customer Satisfaction" sheetId="3" r:id="rId2"/>
    <sheet name="Operations" sheetId="4" r:id="rId3"/>
    <sheet name="Human Resources" sheetId="5" r:id="rId4"/>
    <sheet name="Financial Indicators" sheetId="6" r:id="rId5"/>
    <sheet name="Values" sheetId="7" r:id="rId6"/>
  </sheets>
  <definedNames>
    <definedName name="values" localSheetId="5" hidden="1">Values!$A$1:$N$13</definedName>
  </definedNames>
  <calcPr calcId="124519"/>
  <webPublishing codePage="1252"/>
</workbook>
</file>

<file path=xl/calcChain.xml><?xml version="1.0" encoding="utf-8"?>
<calcChain xmlns="http://schemas.openxmlformats.org/spreadsheetml/2006/main">
  <c r="A1" i="6"/>
  <c r="A1" i="5"/>
  <c r="A1" i="4"/>
  <c r="A1" i="2"/>
  <c r="B7" i="3" l="1"/>
  <c r="C7"/>
  <c r="D7"/>
  <c r="E7"/>
  <c r="F7"/>
  <c r="G7"/>
  <c r="H7"/>
  <c r="B8"/>
  <c r="C8"/>
  <c r="J8"/>
  <c r="K8"/>
  <c r="B9"/>
  <c r="C9"/>
  <c r="D9"/>
  <c r="E9"/>
  <c r="F9"/>
  <c r="G9"/>
  <c r="H9"/>
  <c r="B10"/>
  <c r="C10"/>
  <c r="D10"/>
  <c r="E10"/>
  <c r="F10"/>
  <c r="G10"/>
  <c r="H10"/>
  <c r="B11"/>
  <c r="C11"/>
  <c r="D11"/>
  <c r="E11"/>
  <c r="F11"/>
  <c r="G11"/>
  <c r="H11"/>
  <c r="B12"/>
  <c r="C12"/>
  <c r="D12"/>
  <c r="E12"/>
  <c r="F12"/>
  <c r="G12"/>
  <c r="H12"/>
  <c r="B13"/>
  <c r="C13"/>
  <c r="D13"/>
  <c r="E13"/>
  <c r="F13"/>
  <c r="G13"/>
  <c r="H13"/>
  <c r="B14"/>
  <c r="C14"/>
  <c r="D14"/>
  <c r="E14"/>
  <c r="F14"/>
  <c r="G14"/>
  <c r="H14"/>
  <c r="B15"/>
  <c r="C15"/>
  <c r="D15"/>
  <c r="E15"/>
  <c r="F15"/>
  <c r="G15"/>
  <c r="H15"/>
  <c r="B16"/>
  <c r="C16"/>
  <c r="D16"/>
  <c r="E16"/>
  <c r="F16"/>
  <c r="G16"/>
  <c r="H16"/>
  <c r="B17"/>
  <c r="C17"/>
  <c r="D17"/>
  <c r="E17"/>
  <c r="F17"/>
  <c r="G17"/>
  <c r="H17"/>
  <c r="I17" l="1"/>
  <c r="I16"/>
  <c r="I15"/>
  <c r="I14"/>
  <c r="I13"/>
  <c r="I12"/>
  <c r="I11"/>
  <c r="I10"/>
  <c r="I9"/>
  <c r="I7"/>
  <c r="B31" i="2"/>
  <c r="B30"/>
  <c r="B29"/>
  <c r="B28"/>
  <c r="B27"/>
  <c r="B24"/>
  <c r="B23"/>
  <c r="B22"/>
  <c r="B21"/>
  <c r="B20"/>
  <c r="B17"/>
  <c r="B16"/>
  <c r="B13"/>
  <c r="B12"/>
  <c r="B11"/>
  <c r="B10"/>
  <c r="B9"/>
  <c r="B49" l="1"/>
  <c r="B48"/>
  <c r="B47"/>
  <c r="B44"/>
  <c r="D43"/>
  <c r="B43"/>
  <c r="D42"/>
  <c r="B42"/>
  <c r="D41"/>
  <c r="D38"/>
  <c r="B38"/>
  <c r="D37"/>
  <c r="B37"/>
  <c r="D36"/>
  <c r="B36"/>
  <c r="D20"/>
  <c r="D16"/>
  <c r="D13"/>
  <c r="D12"/>
  <c r="D11"/>
  <c r="D10"/>
  <c r="D9"/>
</calcChain>
</file>

<file path=xl/connections.xml><?xml version="1.0" encoding="utf-8"?>
<connections xmlns="http://schemas.openxmlformats.org/spreadsheetml/2006/main">
  <connection id="1" odcFile="C:\Documents and Settings\a-srees\Desktop\values.iqy" keepAlive="1" name="values" type="5" refreshedVersion="3" minRefreshableVersion="3" saveData="1">
    <dbPr connection="Provider=Microsoft.Office.List.OLEDB.2.0;Data Source=&quot;&quot;;ApplicationName=Excel;Version=12.0.0.0" command="&lt;LIST&gt;&lt;VIEWGUID&gt;{3DDC0FA1-BED1-462E-B342-51989DC60181}&lt;/VIEWGUID&gt;&lt;LISTNAME&gt;{DF43E7C1-2F15-463A-A224-722017F89B3F}&lt;/LISTNAME&gt;&lt;LISTWEB&gt;http://iwagweg03/sites/parme/bpr_test1/_vti_bin&lt;/LISTWEB&gt;&lt;LISTSUBWEB&gt;&lt;/LISTSUBWEB&gt;&lt;ROOTFOLDER&gt;/sites/parme/bpr_test1/Customer Satisfaction Surveys&lt;/ROOTFOLDER&gt;&lt;/LIST&gt;" commandType="5"/>
  </connection>
</connections>
</file>

<file path=xl/sharedStrings.xml><?xml version="1.0" encoding="utf-8"?>
<sst xmlns="http://schemas.openxmlformats.org/spreadsheetml/2006/main" count="327" uniqueCount="127">
  <si>
    <t>Recommendation</t>
  </si>
  <si>
    <t>Customer Service</t>
  </si>
  <si>
    <t>Representative Knowledge</t>
  </si>
  <si>
    <t>Company Performance</t>
  </si>
  <si>
    <t>More Work</t>
  </si>
  <si>
    <t>Sales Customer Service</t>
  </si>
  <si>
    <t>Sales Effectiveness</t>
  </si>
  <si>
    <t>Reliability</t>
  </si>
  <si>
    <t>Summary Metrics</t>
  </si>
  <si>
    <t>New Hires Per Month</t>
  </si>
  <si>
    <t>Poor / Very Dissatisfied:</t>
  </si>
  <si>
    <t>Weak/Dissatisfied:</t>
  </si>
  <si>
    <t>Average/Neutral:</t>
  </si>
  <si>
    <t>Strong/Satisfied:</t>
  </si>
  <si>
    <t>Outstanding/Very Satisfied:</t>
  </si>
  <si>
    <t>Average:</t>
  </si>
  <si>
    <t>Q1:</t>
  </si>
  <si>
    <t>Q2:</t>
  </si>
  <si>
    <t>Q3:</t>
  </si>
  <si>
    <t>Q4:</t>
  </si>
  <si>
    <t>Employee Length of Service</t>
  </si>
  <si>
    <t>Yes:</t>
  </si>
  <si>
    <t>No:</t>
  </si>
  <si>
    <t>Hours of Training Per Employee</t>
  </si>
  <si>
    <t>Financial Indicators</t>
  </si>
  <si>
    <t>Number of New Customers</t>
  </si>
  <si>
    <t>Revenue Growth</t>
  </si>
  <si>
    <t>Quality</t>
  </si>
  <si>
    <t>Operating Margin</t>
  </si>
  <si>
    <t>Delivery</t>
  </si>
  <si>
    <t>Current Month:</t>
  </si>
  <si>
    <t>QTD:</t>
  </si>
  <si>
    <t>YTD:</t>
  </si>
  <si>
    <t>Defects Per Million Parts:</t>
  </si>
  <si>
    <t>Delivery Time To Customers:</t>
  </si>
  <si>
    <t>Customer Satisfaction Survey Metrics</t>
  </si>
  <si>
    <t>Poor/Very Dissatisfied</t>
  </si>
  <si>
    <t>Average</t>
  </si>
  <si>
    <t>Yes</t>
  </si>
  <si>
    <t>No</t>
  </si>
  <si>
    <t>Outstanding/
Very Satisfied</t>
  </si>
  <si>
    <t>Strong/
Satisfied</t>
  </si>
  <si>
    <t>Average/
Neutral</t>
  </si>
  <si>
    <t>Weak/
Dissastisfied</t>
  </si>
  <si>
    <t>Web Content &amp; Usability</t>
  </si>
  <si>
    <t>QoP</t>
  </si>
  <si>
    <t>QoS</t>
  </si>
  <si>
    <t>Operations Metrics</t>
  </si>
  <si>
    <t>Current Month</t>
  </si>
  <si>
    <t>Quarter to Date</t>
  </si>
  <si>
    <t>Year to Date</t>
  </si>
  <si>
    <t>Delivery Time to Customers (days)</t>
  </si>
  <si>
    <t>Time to Fill Orders (days)</t>
  </si>
  <si>
    <t>Defects Per Million Parts</t>
  </si>
  <si>
    <t>Number of Returned Units Per Month</t>
  </si>
  <si>
    <t>Recruiting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</si>
  <si>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</si>
  <si>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</si>
  <si>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</si>
  <si>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</si>
  <si>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</si>
  <si>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</si>
  <si>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</si>
  <si>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</si>
  <si>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</si>
  <si>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</si>
  <si>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</si>
  <si>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</si>
  <si>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New Hires</t>
  </si>
  <si>
    <t>Cost Per Hire</t>
  </si>
  <si>
    <t>Time To Fill New Positions (days)</t>
  </si>
  <si>
    <t>Employees</t>
  </si>
  <si>
    <t>Average Employee Length of Service</t>
  </si>
  <si>
    <t>Attrition Rate (Volunteer &amp; Involuntary)</t>
  </si>
  <si>
    <t>Employee Satisfaction</t>
  </si>
  <si>
    <t>Development</t>
  </si>
  <si>
    <t>Cost Per Trainee Hour</t>
  </si>
  <si>
    <t>3/mo</t>
  </si>
  <si>
    <t>Dollar Amount</t>
  </si>
  <si>
    <t>Percentage</t>
  </si>
  <si>
    <t>Average Discounts Given</t>
  </si>
  <si>
    <t>Budget Variance</t>
  </si>
  <si>
    <t>CURRENT MONTH</t>
  </si>
  <si>
    <t>QUARTER-TO-DATE</t>
  </si>
  <si>
    <t>YEAR-TO-DATE</t>
  </si>
  <si>
    <t>CUSTOMER SATISFACTION</t>
  </si>
  <si>
    <t>HUMAN RESOURCES</t>
  </si>
  <si>
    <t>OPERATIONS</t>
  </si>
  <si>
    <t>FINANCIAL INDICATORS</t>
  </si>
  <si>
    <t>Number of
Customers Asked</t>
  </si>
  <si>
    <t>Number
Customers Answered</t>
  </si>
  <si>
    <t>10:1</t>
  </si>
  <si>
    <t>Human Resources Metrics</t>
  </si>
  <si>
    <t>DATE PREPARED: 7/16/2007</t>
  </si>
  <si>
    <t>DATE PREPARED: 7/11/2007</t>
  </si>
  <si>
    <t>DATE PREPARED: 7/12/2007</t>
  </si>
  <si>
    <t>5.2 years</t>
  </si>
  <si>
    <t>8.7/10</t>
  </si>
  <si>
    <t>DATE PREPARED: 7/9/2007</t>
  </si>
  <si>
    <t>PREPARED BY: [Name]</t>
  </si>
  <si>
    <t>[Company Name]</t>
  </si>
  <si>
    <t>Ratio of FTEs to Contingent Staff</t>
  </si>
  <si>
    <t>Company Name</t>
  </si>
  <si>
    <t>Web Usability</t>
  </si>
  <si>
    <t>Quality of Product</t>
  </si>
  <si>
    <t>Quality of Service</t>
  </si>
  <si>
    <t>Item Type</t>
  </si>
  <si>
    <t>Path</t>
  </si>
  <si>
    <t>Item</t>
  </si>
  <si>
    <t>sites/parme/bpr_test1/Customer Satisfaction Surveys</t>
  </si>
  <si>
    <t>5</t>
  </si>
  <si>
    <t>1</t>
  </si>
  <si>
    <t>4</t>
  </si>
  <si>
    <t>3</t>
  </si>
  <si>
    <t>2</t>
  </si>
  <si>
    <t>Fabrikam, Inc.</t>
  </si>
  <si>
    <t>The Phone Company</t>
  </si>
  <si>
    <t>Fourth Coffee</t>
  </si>
  <si>
    <t>Litware, Inc.</t>
  </si>
  <si>
    <t>Coho Vineyard</t>
  </si>
  <si>
    <t>Lucerne Publishing</t>
  </si>
  <si>
    <t>Woodgrove Bank</t>
  </si>
  <si>
    <t>Trey Research</t>
  </si>
  <si>
    <t>Contoso, Ltd.</t>
  </si>
  <si>
    <t>Blue Yonder Airlines</t>
  </si>
  <si>
    <t>Northwind Traders</t>
  </si>
  <si>
    <t>Proseware, Inc.</t>
  </si>
</sst>
</file>

<file path=xl/styles.xml><?xml version="1.0" encoding="utf-8"?>
<styleSheet xmlns="http://schemas.openxmlformats.org/spreadsheetml/2006/main">
  <numFmts count="4">
    <numFmt numFmtId="6" formatCode="&quot;$&quot;#,##0_);[Red]\(&quot;$&quot;#,##0\)"/>
    <numFmt numFmtId="164" formatCode="&quot;$&quot;#,##0.00"/>
    <numFmt numFmtId="165" formatCode="0.0%"/>
    <numFmt numFmtId="166" formatCode="&quot;$&quot;#,##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333333"/>
      <name val="Calibri"/>
      <family val="2"/>
      <scheme val="minor"/>
    </font>
    <font>
      <sz val="18"/>
      <color rgb="FF648DC6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 tint="0.1499679555650502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 tint="0.149967955565050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0E9F4"/>
      </patternFill>
    </fill>
    <fill>
      <gradientFill degree="90">
        <stop position="0">
          <color theme="4" tint="0.40000610370189521"/>
        </stop>
        <stop position="1">
          <color rgb="FFFFFFFF"/>
        </stop>
      </gradientFill>
    </fill>
    <fill>
      <patternFill patternType="solid">
        <fgColor theme="4" tint="0.39994506668294322"/>
        <bgColor indexed="65"/>
      </patternFill>
    </fill>
  </fills>
  <borders count="27">
    <border>
      <left/>
      <right/>
      <top/>
      <bottom/>
      <diagonal/>
    </border>
    <border>
      <left/>
      <right/>
      <top style="thin">
        <color rgb="FF406F96"/>
      </top>
      <bottom style="thin">
        <color rgb="FF406F96"/>
      </bottom>
      <diagonal/>
    </border>
    <border>
      <left/>
      <right/>
      <top style="thin">
        <color rgb="FF406F96"/>
      </top>
      <bottom/>
      <diagonal/>
    </border>
    <border>
      <left/>
      <right/>
      <top style="thin">
        <color rgb="FF546D80"/>
      </top>
      <bottom style="thick">
        <color rgb="FFAED4B4"/>
      </bottom>
      <diagonal/>
    </border>
    <border>
      <left/>
      <right/>
      <top style="thick">
        <color rgb="FFAED4B4"/>
      </top>
      <bottom/>
      <diagonal/>
    </border>
    <border>
      <left/>
      <right/>
      <top/>
      <bottom style="thick">
        <color rgb="FFAED4B4"/>
      </bottom>
      <diagonal/>
    </border>
    <border>
      <left style="dotted">
        <color rgb="FF969696"/>
      </left>
      <right style="dotted">
        <color rgb="FF969696"/>
      </right>
      <top style="thick">
        <color rgb="FFAED4B4"/>
      </top>
      <bottom/>
      <diagonal/>
    </border>
    <border>
      <left style="dotted">
        <color rgb="FF969696"/>
      </left>
      <right style="dotted">
        <color rgb="FF969696"/>
      </right>
      <top/>
      <bottom/>
      <diagonal/>
    </border>
    <border>
      <left style="dotted">
        <color rgb="FF969696"/>
      </left>
      <right style="dotted">
        <color rgb="FF969696"/>
      </right>
      <top/>
      <bottom style="thick">
        <color rgb="FFAED4B4"/>
      </bottom>
      <diagonal/>
    </border>
    <border>
      <left style="hair">
        <color rgb="FF969696"/>
      </left>
      <right style="hair">
        <color rgb="FF969696"/>
      </right>
      <top/>
      <bottom/>
      <diagonal/>
    </border>
    <border>
      <left style="dotted">
        <color rgb="FF969696"/>
      </left>
      <right/>
      <top/>
      <bottom style="thick">
        <color rgb="FFAED4B4"/>
      </bottom>
      <diagonal/>
    </border>
    <border>
      <left style="dotted">
        <color rgb="FF969696"/>
      </left>
      <right/>
      <top/>
      <bottom/>
      <diagonal/>
    </border>
    <border>
      <left/>
      <right/>
      <top style="medium">
        <color theme="4" tint="0.59996337778862885"/>
      </top>
      <bottom style="thick">
        <color theme="5"/>
      </bottom>
      <diagonal/>
    </border>
    <border>
      <left/>
      <right/>
      <top style="thin">
        <color theme="4" tint="-0.24994659260841701"/>
      </top>
      <bottom/>
      <diagonal/>
    </border>
    <border>
      <left/>
      <right/>
      <top/>
      <bottom style="thick">
        <color theme="5"/>
      </bottom>
      <diagonal/>
    </border>
    <border>
      <left style="hair">
        <color theme="2" tint="-0.24994659260841701"/>
      </left>
      <right/>
      <top/>
      <bottom/>
      <diagonal/>
    </border>
    <border>
      <left style="hair">
        <color theme="2" tint="-0.24994659260841701"/>
      </left>
      <right/>
      <top/>
      <bottom style="thick">
        <color theme="5"/>
      </bottom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 style="thin">
        <color theme="5"/>
      </left>
      <right/>
      <top style="thick">
        <color theme="5"/>
      </top>
      <bottom/>
      <diagonal/>
    </border>
    <border>
      <left style="thin">
        <color theme="5"/>
      </left>
      <right/>
      <top/>
      <bottom style="medium">
        <color theme="4" tint="0.59996337778862885"/>
      </bottom>
      <diagonal/>
    </border>
    <border>
      <left/>
      <right/>
      <top style="thin">
        <color theme="4" tint="0.39994506668294322"/>
      </top>
      <bottom style="medium">
        <color theme="4" tint="0.39994506668294322"/>
      </bottom>
      <diagonal/>
    </border>
    <border>
      <left/>
      <right/>
      <top style="thin">
        <color theme="4" tint="0.39994506668294322"/>
      </top>
      <bottom style="medium">
        <color theme="4" tint="0.39991454817346722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thick">
        <color rgb="FFAED4B4"/>
      </bottom>
      <diagonal/>
    </border>
    <border>
      <left/>
      <right/>
      <top style="medium">
        <color rgb="FFAED4B4"/>
      </top>
      <bottom/>
      <diagonal/>
    </border>
    <border>
      <left style="hair">
        <color theme="2" tint="-0.24994659260841701"/>
      </left>
      <right style="hair">
        <color theme="2" tint="-0.24994659260841701"/>
      </right>
      <top/>
      <bottom/>
      <diagonal/>
    </border>
    <border>
      <left style="hair">
        <color theme="2" tint="-0.24994659260841701"/>
      </left>
      <right style="hair">
        <color theme="2" tint="-0.24994659260841701"/>
      </right>
      <top/>
      <bottom style="thick">
        <color theme="5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49" fontId="7" fillId="0" borderId="1">
      <alignment wrapText="1"/>
    </xf>
    <xf numFmtId="49" fontId="11" fillId="0" borderId="3">
      <alignment wrapText="1"/>
    </xf>
    <xf numFmtId="49" fontId="12" fillId="2" borderId="4">
      <alignment wrapText="1"/>
    </xf>
  </cellStyleXfs>
  <cellXfs count="86">
    <xf numFmtId="0" fontId="0" fillId="0" borderId="0" xfId="0"/>
    <xf numFmtId="0" fontId="0" fillId="0" borderId="0" xfId="0" applyBorder="1"/>
    <xf numFmtId="0" fontId="2" fillId="0" borderId="0" xfId="0" applyFont="1" applyAlignment="1">
      <alignment horizontal="right"/>
    </xf>
    <xf numFmtId="0" fontId="3" fillId="0" borderId="0" xfId="0" applyFont="1"/>
    <xf numFmtId="0" fontId="1" fillId="0" borderId="0" xfId="0" applyFont="1" applyBorder="1"/>
    <xf numFmtId="0" fontId="4" fillId="0" borderId="0" xfId="0" applyFont="1" applyAlignment="1"/>
    <xf numFmtId="0" fontId="0" fillId="0" borderId="0" xfId="0" applyFill="1" applyBorder="1"/>
    <xf numFmtId="0" fontId="8" fillId="0" borderId="0" xfId="0" applyFont="1"/>
    <xf numFmtId="49" fontId="9" fillId="0" borderId="0" xfId="2" applyFont="1" applyBorder="1" applyAlignment="1"/>
    <xf numFmtId="0" fontId="10" fillId="0" borderId="0" xfId="0" applyFont="1" applyFill="1" applyBorder="1" applyAlignment="1">
      <alignment horizontal="left" indent="2"/>
    </xf>
    <xf numFmtId="0" fontId="13" fillId="0" borderId="0" xfId="0" applyFont="1"/>
    <xf numFmtId="0" fontId="13" fillId="0" borderId="0" xfId="0" applyFont="1" applyBorder="1"/>
    <xf numFmtId="0" fontId="0" fillId="0" borderId="5" xfId="0" applyBorder="1"/>
    <xf numFmtId="0" fontId="2" fillId="0" borderId="0" xfId="0" applyFont="1" applyBorder="1" applyAlignment="1">
      <alignment horizontal="right" indent="2"/>
    </xf>
    <xf numFmtId="49" fontId="12" fillId="0" borderId="5" xfId="4" applyFont="1" applyFill="1" applyBorder="1" applyAlignment="1">
      <alignment wrapText="1"/>
    </xf>
    <xf numFmtId="0" fontId="2" fillId="0" borderId="6" xfId="0" applyFont="1" applyBorder="1" applyAlignment="1">
      <alignment horizontal="right" indent="2"/>
    </xf>
    <xf numFmtId="0" fontId="2" fillId="0" borderId="7" xfId="0" applyFont="1" applyBorder="1" applyAlignment="1">
      <alignment horizontal="right" indent="2"/>
    </xf>
    <xf numFmtId="0" fontId="0" fillId="0" borderId="8" xfId="0" applyBorder="1"/>
    <xf numFmtId="0" fontId="10" fillId="0" borderId="0" xfId="0" applyFont="1" applyFill="1" applyBorder="1"/>
    <xf numFmtId="165" fontId="2" fillId="0" borderId="0" xfId="1" applyNumberFormat="1" applyFont="1" applyBorder="1" applyAlignment="1">
      <alignment horizontal="right" indent="2"/>
    </xf>
    <xf numFmtId="166" fontId="2" fillId="0" borderId="0" xfId="0" applyNumberFormat="1" applyFont="1" applyBorder="1" applyAlignment="1">
      <alignment horizontal="right" indent="2"/>
    </xf>
    <xf numFmtId="6" fontId="2" fillId="0" borderId="0" xfId="0" applyNumberFormat="1" applyFont="1" applyBorder="1" applyAlignment="1">
      <alignment horizontal="right" indent="2"/>
    </xf>
    <xf numFmtId="2" fontId="2" fillId="0" borderId="6" xfId="0" applyNumberFormat="1" applyFont="1" applyBorder="1" applyAlignment="1">
      <alignment horizontal="right" indent="2"/>
    </xf>
    <xf numFmtId="0" fontId="2" fillId="0" borderId="0" xfId="0" applyFont="1" applyFill="1" applyBorder="1" applyAlignment="1">
      <alignment horizontal="right" indent="2"/>
    </xf>
    <xf numFmtId="0" fontId="0" fillId="0" borderId="14" xfId="0" applyBorder="1"/>
    <xf numFmtId="0" fontId="10" fillId="0" borderId="14" xfId="0" applyFont="1" applyFill="1" applyBorder="1" applyAlignment="1">
      <alignment horizontal="left" indent="2"/>
    </xf>
    <xf numFmtId="0" fontId="2" fillId="0" borderId="14" xfId="0" applyFont="1" applyBorder="1" applyAlignment="1">
      <alignment horizontal="right" indent="2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10" fillId="0" borderId="17" xfId="0" applyFont="1" applyFill="1" applyBorder="1" applyAlignment="1">
      <alignment horizontal="left" indent="2"/>
    </xf>
    <xf numFmtId="0" fontId="10" fillId="0" borderId="19" xfId="0" applyFont="1" applyFill="1" applyBorder="1" applyAlignment="1">
      <alignment horizontal="left" indent="2"/>
    </xf>
    <xf numFmtId="0" fontId="0" fillId="0" borderId="20" xfId="0" applyBorder="1"/>
    <xf numFmtId="0" fontId="10" fillId="0" borderId="20" xfId="0" applyFont="1" applyFill="1" applyBorder="1" applyAlignment="1">
      <alignment horizontal="left" indent="2"/>
    </xf>
    <xf numFmtId="0" fontId="10" fillId="0" borderId="18" xfId="0" applyFont="1" applyFill="1" applyBorder="1" applyAlignment="1">
      <alignment horizontal="left" indent="2"/>
    </xf>
    <xf numFmtId="0" fontId="2" fillId="0" borderId="15" xfId="0" applyFont="1" applyBorder="1" applyAlignment="1">
      <alignment horizontal="right" indent="2"/>
    </xf>
    <xf numFmtId="0" fontId="2" fillId="0" borderId="15" xfId="0" applyFont="1" applyBorder="1" applyAlignment="1">
      <alignment horizontal="right" indent="1"/>
    </xf>
    <xf numFmtId="0" fontId="0" fillId="0" borderId="15" xfId="0" applyBorder="1" applyAlignment="1">
      <alignment horizontal="right" indent="1"/>
    </xf>
    <xf numFmtId="0" fontId="0" fillId="0" borderId="16" xfId="0" applyBorder="1" applyAlignment="1">
      <alignment horizontal="right" indent="1"/>
    </xf>
    <xf numFmtId="0" fontId="2" fillId="0" borderId="16" xfId="0" applyFont="1" applyBorder="1" applyAlignment="1">
      <alignment horizontal="right" indent="2"/>
    </xf>
    <xf numFmtId="165" fontId="2" fillId="0" borderId="15" xfId="1" applyNumberFormat="1" applyFont="1" applyBorder="1" applyAlignment="1">
      <alignment horizontal="right" indent="1"/>
    </xf>
    <xf numFmtId="9" fontId="0" fillId="0" borderId="15" xfId="1" applyFont="1" applyBorder="1" applyAlignment="1">
      <alignment horizontal="right" indent="1"/>
    </xf>
    <xf numFmtId="2" fontId="2" fillId="0" borderId="7" xfId="0" applyNumberFormat="1" applyFont="1" applyBorder="1" applyAlignment="1">
      <alignment horizontal="right" indent="2"/>
    </xf>
    <xf numFmtId="49" fontId="12" fillId="0" borderId="5" xfId="4" applyFont="1" applyFill="1" applyBorder="1" applyAlignment="1">
      <alignment horizontal="left" wrapText="1" indent="1"/>
    </xf>
    <xf numFmtId="0" fontId="2" fillId="0" borderId="0" xfId="0" applyFont="1" applyAlignment="1">
      <alignment horizontal="right" indent="2"/>
    </xf>
    <xf numFmtId="3" fontId="2" fillId="0" borderId="0" xfId="0" applyNumberFormat="1" applyFont="1" applyAlignment="1">
      <alignment horizontal="right" indent="2"/>
    </xf>
    <xf numFmtId="0" fontId="2" fillId="0" borderId="25" xfId="0" applyFont="1" applyBorder="1" applyAlignment="1">
      <alignment horizontal="right" indent="2"/>
    </xf>
    <xf numFmtId="0" fontId="2" fillId="0" borderId="25" xfId="0" applyFont="1" applyFill="1" applyBorder="1" applyAlignment="1">
      <alignment horizontal="right" indent="2"/>
    </xf>
    <xf numFmtId="0" fontId="2" fillId="0" borderId="26" xfId="0" applyFont="1" applyBorder="1" applyAlignment="1">
      <alignment horizontal="right" indent="2"/>
    </xf>
    <xf numFmtId="165" fontId="2" fillId="0" borderId="25" xfId="1" applyNumberFormat="1" applyFont="1" applyBorder="1" applyAlignment="1">
      <alignment horizontal="right" indent="2"/>
    </xf>
    <xf numFmtId="166" fontId="2" fillId="0" borderId="25" xfId="0" applyNumberFormat="1" applyFont="1" applyBorder="1" applyAlignment="1">
      <alignment horizontal="right" indent="2"/>
    </xf>
    <xf numFmtId="6" fontId="2" fillId="0" borderId="25" xfId="0" applyNumberFormat="1" applyFont="1" applyBorder="1" applyAlignment="1">
      <alignment horizontal="right" indent="2"/>
    </xf>
    <xf numFmtId="165" fontId="2" fillId="0" borderId="25" xfId="0" applyNumberFormat="1" applyFont="1" applyBorder="1" applyAlignment="1">
      <alignment horizontal="right" indent="2"/>
    </xf>
    <xf numFmtId="6" fontId="2" fillId="0" borderId="14" xfId="0" applyNumberFormat="1" applyFont="1" applyBorder="1" applyAlignment="1">
      <alignment horizontal="right" indent="2"/>
    </xf>
    <xf numFmtId="165" fontId="2" fillId="0" borderId="26" xfId="1" applyNumberFormat="1" applyFont="1" applyBorder="1" applyAlignment="1">
      <alignment horizontal="right" indent="2"/>
    </xf>
    <xf numFmtId="6" fontId="2" fillId="0" borderId="26" xfId="0" applyNumberFormat="1" applyFont="1" applyBorder="1" applyAlignment="1">
      <alignment horizontal="right" indent="2"/>
    </xf>
    <xf numFmtId="165" fontId="2" fillId="0" borderId="26" xfId="0" applyNumberFormat="1" applyFont="1" applyBorder="1" applyAlignment="1">
      <alignment horizontal="right" indent="2"/>
    </xf>
    <xf numFmtId="0" fontId="2" fillId="0" borderId="9" xfId="0" applyFont="1" applyBorder="1" applyAlignment="1">
      <alignment horizontal="right" indent="1"/>
    </xf>
    <xf numFmtId="0" fontId="2" fillId="0" borderId="0" xfId="0" applyFont="1" applyAlignment="1">
      <alignment horizontal="right" indent="1"/>
    </xf>
    <xf numFmtId="164" fontId="2" fillId="0" borderId="9" xfId="0" applyNumberFormat="1" applyFont="1" applyBorder="1" applyAlignment="1">
      <alignment horizontal="right" indent="1"/>
    </xf>
    <xf numFmtId="164" fontId="2" fillId="0" borderId="0" xfId="0" applyNumberFormat="1" applyFont="1" applyAlignment="1">
      <alignment horizontal="right" indent="1"/>
    </xf>
    <xf numFmtId="0" fontId="0" fillId="0" borderId="23" xfId="0" applyBorder="1" applyAlignment="1">
      <alignment horizontal="right" indent="1"/>
    </xf>
    <xf numFmtId="0" fontId="0" fillId="0" borderId="5" xfId="0" applyBorder="1" applyAlignment="1">
      <alignment horizontal="right" indent="1"/>
    </xf>
    <xf numFmtId="0" fontId="2" fillId="0" borderId="11" xfId="0" applyFont="1" applyBorder="1" applyAlignment="1">
      <alignment horizontal="right" indent="1"/>
    </xf>
    <xf numFmtId="49" fontId="2" fillId="0" borderId="11" xfId="0" applyNumberFormat="1" applyFont="1" applyBorder="1" applyAlignment="1">
      <alignment horizontal="right" indent="1"/>
    </xf>
    <xf numFmtId="0" fontId="0" fillId="0" borderId="10" xfId="0" applyBorder="1" applyAlignment="1">
      <alignment horizontal="right" indent="1"/>
    </xf>
    <xf numFmtId="164" fontId="2" fillId="0" borderId="11" xfId="0" applyNumberFormat="1" applyFont="1" applyBorder="1" applyAlignment="1">
      <alignment horizontal="right" indent="1"/>
    </xf>
    <xf numFmtId="0" fontId="10" fillId="3" borderId="2" xfId="0" applyFont="1" applyFill="1" applyBorder="1"/>
    <xf numFmtId="49" fontId="12" fillId="4" borderId="24" xfId="4" applyFill="1" applyBorder="1">
      <alignment wrapText="1"/>
    </xf>
    <xf numFmtId="0" fontId="13" fillId="4" borderId="24" xfId="0" applyFont="1" applyFill="1" applyBorder="1"/>
    <xf numFmtId="0" fontId="13" fillId="4" borderId="24" xfId="0" applyFont="1" applyFill="1" applyBorder="1" applyAlignment="1">
      <alignment horizontal="center"/>
    </xf>
    <xf numFmtId="49" fontId="12" fillId="4" borderId="24" xfId="4" applyFill="1" applyBorder="1">
      <alignment wrapText="1"/>
    </xf>
    <xf numFmtId="49" fontId="12" fillId="4" borderId="24" xfId="4" applyFill="1" applyBorder="1" applyAlignment="1">
      <alignment horizontal="center" wrapText="1"/>
    </xf>
    <xf numFmtId="0" fontId="10" fillId="3" borderId="13" xfId="0" applyFont="1" applyFill="1" applyBorder="1"/>
    <xf numFmtId="49" fontId="14" fillId="4" borderId="21" xfId="4" applyFont="1" applyFill="1" applyBorder="1" applyAlignment="1">
      <alignment wrapText="1"/>
    </xf>
    <xf numFmtId="49" fontId="14" fillId="4" borderId="22" xfId="4" applyFont="1" applyFill="1" applyBorder="1" applyAlignment="1">
      <alignment wrapText="1"/>
    </xf>
    <xf numFmtId="49" fontId="0" fillId="0" borderId="0" xfId="0" applyNumberFormat="1" applyAlignment="1"/>
    <xf numFmtId="49" fontId="6" fillId="0" borderId="0" xfId="2" applyFont="1" applyBorder="1" applyAlignment="1" applyProtection="1">
      <alignment wrapText="1"/>
      <protection locked="0"/>
    </xf>
    <xf numFmtId="0" fontId="8" fillId="0" borderId="0" xfId="0" applyFont="1" applyProtection="1">
      <protection locked="0"/>
    </xf>
    <xf numFmtId="49" fontId="0" fillId="0" borderId="0" xfId="0" applyNumberFormat="1" applyBorder="1"/>
    <xf numFmtId="49" fontId="0" fillId="0" borderId="0" xfId="0" applyNumberFormat="1"/>
    <xf numFmtId="49" fontId="12" fillId="0" borderId="12" xfId="4" applyFill="1" applyBorder="1">
      <alignment wrapText="1"/>
    </xf>
    <xf numFmtId="49" fontId="12" fillId="0" borderId="14" xfId="4" applyFill="1" applyBorder="1">
      <alignment wrapText="1"/>
    </xf>
    <xf numFmtId="49" fontId="14" fillId="4" borderId="22" xfId="4" applyFont="1" applyFill="1" applyBorder="1" applyAlignment="1">
      <alignment wrapText="1"/>
    </xf>
    <xf numFmtId="49" fontId="14" fillId="4" borderId="21" xfId="4" applyFont="1" applyFill="1" applyBorder="1" applyAlignment="1">
      <alignment wrapText="1"/>
    </xf>
    <xf numFmtId="49" fontId="12" fillId="4" borderId="24" xfId="4" applyFill="1" applyBorder="1">
      <alignment wrapText="1"/>
    </xf>
  </cellXfs>
  <cellStyles count="5">
    <cellStyle name="Header 1" xfId="3"/>
    <cellStyle name="Normal" xfId="0" builtinId="0"/>
    <cellStyle name="Percent" xfId="1" builtinId="5"/>
    <cellStyle name="Style 1" xfId="2"/>
    <cellStyle name="SubHeader starting cell" xfId="4"/>
  </cellStyles>
  <dxfs count="15"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numFmt numFmtId="30" formatCode="@"/>
      <alignment horizontal="general" vertical="bottom" textRotation="0" wrapText="0" indent="0" relativeIndent="0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</dxf>
  </dxfs>
  <tableStyles count="0" defaultTableStyle="TableStyleMedium9" defaultPivotStyle="PivotStyleLight16"/>
  <colors>
    <mruColors>
      <color rgb="FFE9F1F5"/>
      <color rgb="FF648DC6"/>
      <color rgb="FFFFFFFF"/>
      <color rgb="FFA5D3D2"/>
      <color rgb="FFAED4B4"/>
      <color rgb="FFE0DDEF"/>
      <color rgb="FFDEDBF1"/>
      <color rgb="FFCBD3DF"/>
      <color rgb="FFDAE4F2"/>
      <color rgb="FFCFD4DB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Company</a:t>
            </a:r>
          </a:p>
          <a:p>
            <a:pPr>
              <a:defRPr/>
            </a:pPr>
            <a:r>
              <a:rPr lang="en-US"/>
              <a:t>Performance</a:t>
            </a:r>
          </a:p>
        </c:rich>
      </c:tx>
      <c:layout>
        <c:manualLayout>
          <c:xMode val="edge"/>
          <c:yMode val="edge"/>
          <c:x val="2.7777777777778349E-2"/>
          <c:y val="4.1666666666666664E-2"/>
        </c:manualLayout>
      </c:layout>
    </c:title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'Customer Satisfaction'!$A$7</c:f>
              <c:strCache>
                <c:ptCount val="1"/>
                <c:pt idx="0">
                  <c:v>Company Performance</c:v>
                </c:pt>
              </c:strCache>
            </c:strRef>
          </c:tx>
          <c:dLbls>
            <c:dLbl>
              <c:idx val="1"/>
              <c:layout/>
              <c:showCatName val="1"/>
              <c:showPercent val="1"/>
            </c:dLbl>
            <c:numFmt formatCode="General" sourceLinked="0"/>
            <c:showLegendKey val="1"/>
            <c:showCatName val="1"/>
            <c:showPercent val="1"/>
            <c:showLeaderLines val="1"/>
          </c:dLbls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Satisfaction'!$D$7:$H$7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</c:ser>
      </c:pie3DChart>
    </c:plotArea>
    <c:plotVisOnly val="1"/>
  </c:chart>
  <c:printSettings>
    <c:headerFooter/>
    <c:pageMargins b="0.75000000000000566" l="0.70000000000000062" r="0.70000000000000062" t="0.75000000000000566" header="0.30000000000000032" footer="0.30000000000000032"/>
    <c:pageSetup paperSize="0" orientation="landscape" horizontalDpi="0" verticalDpi="0" copies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Recommendation</a:t>
            </a:r>
          </a:p>
        </c:rich>
      </c:tx>
      <c:layout>
        <c:manualLayout>
          <c:xMode val="edge"/>
          <c:yMode val="edge"/>
          <c:x val="1.9386574074074243E-2"/>
          <c:y val="1.9883665716999233E-2"/>
        </c:manualLayout>
      </c:layout>
      <c:overlay val="1"/>
    </c:title>
    <c:view3D>
      <c:rAngAx val="1"/>
    </c:view3D>
    <c:plotArea>
      <c:layout>
        <c:manualLayout>
          <c:layoutTarget val="inner"/>
          <c:xMode val="edge"/>
          <c:yMode val="edge"/>
          <c:x val="0.10395622895623055"/>
          <c:y val="0.17369901547116887"/>
          <c:w val="0.67500000000000626"/>
          <c:h val="0.59740259740259738"/>
        </c:manualLayout>
      </c:layout>
      <c:bar3DChart>
        <c:barDir val="bar"/>
        <c:grouping val="clustered"/>
        <c:ser>
          <c:idx val="0"/>
          <c:order val="0"/>
          <c:cat>
            <c:strRef>
              <c:f>'Customer Satisfaction'!$J$6:$K$6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'Customer Satisfaction'!$J$8:$K$8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val>
        </c:ser>
        <c:gapDepth val="287"/>
        <c:shape val="box"/>
        <c:axId val="56396416"/>
        <c:axId val="56910208"/>
        <c:axId val="0"/>
      </c:bar3DChart>
      <c:catAx>
        <c:axId val="56396416"/>
        <c:scaling>
          <c:orientation val="minMax"/>
        </c:scaling>
        <c:axPos val="l"/>
        <c:tickLblPos val="nextTo"/>
        <c:crossAx val="56910208"/>
        <c:crosses val="autoZero"/>
        <c:auto val="1"/>
        <c:lblAlgn val="ctr"/>
        <c:lblOffset val="100"/>
      </c:catAx>
      <c:valAx>
        <c:axId val="56910208"/>
        <c:scaling>
          <c:orientation val="minMax"/>
        </c:scaling>
        <c:axPos val="b"/>
        <c:majorGridlines/>
        <c:numFmt formatCode="General" sourceLinked="1"/>
        <c:tickLblPos val="nextTo"/>
        <c:crossAx val="56396416"/>
        <c:crosses val="autoZero"/>
        <c:crossBetween val="between"/>
      </c:valAx>
    </c:plotArea>
    <c:plotVisOnly val="1"/>
  </c:chart>
  <c:printSettings>
    <c:headerFooter/>
    <c:pageMargins b="0.75000000000000555" l="0.70000000000000062" r="0.70000000000000062" t="0.75000000000000555" header="0.30000000000000032" footer="0.30000000000000032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Representative Knowledge</a:t>
            </a:r>
          </a:p>
        </c:rich>
      </c:tx>
      <c:layout>
        <c:manualLayout>
          <c:xMode val="edge"/>
          <c:yMode val="edge"/>
          <c:x val="1.3888888888889065E-2"/>
          <c:y val="2.2075055187638012E-2"/>
        </c:manualLayout>
      </c:layout>
      <c:overlay val="1"/>
    </c:title>
    <c:view3D>
      <c:rotX val="23"/>
      <c:rotY val="45"/>
      <c:depthPercent val="100"/>
      <c:rAngAx val="1"/>
    </c:view3D>
    <c:plotArea>
      <c:layout>
        <c:manualLayout>
          <c:layoutTarget val="inner"/>
          <c:xMode val="edge"/>
          <c:yMode val="edge"/>
          <c:x val="6.5656565656565649E-2"/>
          <c:y val="0.18284106891701829"/>
          <c:w val="0.76792082239720716"/>
          <c:h val="0.45183617672790932"/>
        </c:manualLayout>
      </c:layout>
      <c:bar3DChart>
        <c:barDir val="col"/>
        <c:grouping val="standard"/>
        <c:ser>
          <c:idx val="0"/>
          <c:order val="0"/>
          <c:tx>
            <c:strRef>
              <c:f>'Customer Satisfaction'!$A$10</c:f>
              <c:strCache>
                <c:ptCount val="1"/>
                <c:pt idx="0">
                  <c:v>Representative Knowledge</c:v>
                </c:pt>
              </c:strCache>
            </c:strRef>
          </c:tx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Satisfaction'!$D$10:$H$10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</c:numCache>
            </c:numRef>
          </c:val>
        </c:ser>
        <c:shape val="cylinder"/>
        <c:axId val="57442688"/>
        <c:axId val="57444224"/>
        <c:axId val="56629888"/>
      </c:bar3DChart>
      <c:catAx>
        <c:axId val="57442688"/>
        <c:scaling>
          <c:orientation val="minMax"/>
        </c:scaling>
        <c:axPos val="b"/>
        <c:tickLblPos val="nextTo"/>
        <c:crossAx val="57444224"/>
        <c:crosses val="autoZero"/>
        <c:auto val="1"/>
        <c:lblAlgn val="ctr"/>
        <c:lblOffset val="100"/>
      </c:catAx>
      <c:valAx>
        <c:axId val="57444224"/>
        <c:scaling>
          <c:orientation val="minMax"/>
        </c:scaling>
        <c:axPos val="l"/>
        <c:majorGridlines/>
        <c:numFmt formatCode="General" sourceLinked="1"/>
        <c:tickLblPos val="nextTo"/>
        <c:crossAx val="57442688"/>
        <c:crosses val="autoZero"/>
        <c:crossBetween val="between"/>
      </c:valAx>
      <c:serAx>
        <c:axId val="56629888"/>
        <c:scaling>
          <c:orientation val="minMax"/>
        </c:scaling>
        <c:delete val="1"/>
        <c:axPos val="b"/>
        <c:tickLblPos val="nextTo"/>
        <c:crossAx val="57444224"/>
        <c:crosses val="autoZero"/>
      </c:serAx>
    </c:plotArea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QoS</a:t>
            </a:r>
          </a:p>
        </c:rich>
      </c:tx>
      <c:layout>
        <c:manualLayout>
          <c:xMode val="edge"/>
          <c:yMode val="edge"/>
          <c:x val="1.6617063492063495E-2"/>
          <c:y val="2.2369123931623932E-2"/>
        </c:manualLayout>
      </c:layout>
      <c:overlay val="1"/>
    </c:title>
    <c:view3D>
      <c:rotX val="30"/>
      <c:perspective val="10"/>
    </c:view3D>
    <c:plotArea>
      <c:layout/>
      <c:pie3DChart>
        <c:varyColors val="1"/>
        <c:ser>
          <c:idx val="0"/>
          <c:order val="0"/>
          <c:tx>
            <c:strRef>
              <c:f>'Customer Satisfaction'!$A$13</c:f>
              <c:strCache>
                <c:ptCount val="1"/>
                <c:pt idx="0">
                  <c:v>QoS</c:v>
                </c:pt>
              </c:strCache>
            </c:strRef>
          </c:tx>
          <c:explosion val="25"/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Satisfaction'!$D$13:$H$13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</c:pie3DChart>
    </c:plotArea>
    <c:legend>
      <c:legendPos val="r"/>
      <c:legendEntry>
        <c:idx val="0"/>
      </c:legendEntry>
      <c:legendEntry>
        <c:idx val="1"/>
      </c:legendEntry>
      <c:legendEntry>
        <c:idx val="2"/>
      </c:legendEntry>
      <c:legendEntry>
        <c:idx val="3"/>
      </c:legendEntry>
      <c:legendEntry>
        <c:idx val="4"/>
      </c:legendEntry>
      <c:layout>
        <c:manualLayout>
          <c:xMode val="edge"/>
          <c:yMode val="edge"/>
          <c:x val="0.71666666666666667"/>
          <c:y val="0.18055555555555555"/>
        </c:manualLayout>
      </c:layout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Sales Effectivenes</a:t>
            </a:r>
          </a:p>
        </c:rich>
      </c:tx>
      <c:layout>
        <c:manualLayout>
          <c:xMode val="edge"/>
          <c:yMode val="edge"/>
          <c:x val="1.6606280193236723E-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25913621262458469"/>
          <c:y val="0.17827004219409431"/>
          <c:w val="0.46046511627907138"/>
          <c:h val="0.5411764705882357"/>
        </c:manualLayout>
      </c:layout>
      <c:barChart>
        <c:barDir val="bar"/>
        <c:grouping val="clustered"/>
        <c:ser>
          <c:idx val="0"/>
          <c:order val="0"/>
          <c:tx>
            <c:strRef>
              <c:f>'Customer Satisfaction'!$A$16</c:f>
              <c:strCache>
                <c:ptCount val="1"/>
                <c:pt idx="0">
                  <c:v>Sales Effectiveness</c:v>
                </c:pt>
              </c:strCache>
            </c:strRef>
          </c:tx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Satisfaction'!$D$16:$H$16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  <c:axId val="66814720"/>
        <c:axId val="66816640"/>
      </c:barChart>
      <c:catAx>
        <c:axId val="66814720"/>
        <c:scaling>
          <c:orientation val="minMax"/>
        </c:scaling>
        <c:axPos val="l"/>
        <c:tickLblPos val="nextTo"/>
        <c:crossAx val="66816640"/>
        <c:crosses val="autoZero"/>
        <c:auto val="1"/>
        <c:lblAlgn val="ctr"/>
        <c:lblOffset val="50"/>
      </c:catAx>
      <c:valAx>
        <c:axId val="66816640"/>
        <c:scaling>
          <c:orientation val="minMax"/>
        </c:scaling>
        <c:axPos val="b"/>
        <c:majorGridlines/>
        <c:numFmt formatCode="General" sourceLinked="1"/>
        <c:tickLblPos val="nextTo"/>
        <c:crossAx val="668147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Web Content &amp; Usability</a:t>
            </a:r>
          </a:p>
        </c:rich>
      </c:tx>
      <c:layout>
        <c:manualLayout>
          <c:xMode val="edge"/>
          <c:yMode val="edge"/>
          <c:x val="1.5457733480989295E-2"/>
          <c:y val="2.3033553355335534E-2"/>
        </c:manualLayout>
      </c:layout>
      <c:overlay val="1"/>
    </c:title>
    <c:view3D>
      <c:rotX val="40"/>
      <c:rotY val="30"/>
      <c:perspective val="2"/>
    </c:view3D>
    <c:plotArea>
      <c:layout>
        <c:manualLayout>
          <c:layoutTarget val="inner"/>
          <c:xMode val="edge"/>
          <c:yMode val="edge"/>
          <c:x val="2.4866785079928951E-2"/>
          <c:y val="0.16666666666666666"/>
          <c:w val="0.63255813953489026"/>
          <c:h val="0.72222222222222221"/>
        </c:manualLayout>
      </c:layout>
      <c:pie3DChart>
        <c:varyColors val="1"/>
        <c:ser>
          <c:idx val="0"/>
          <c:order val="0"/>
          <c:tx>
            <c:strRef>
              <c:f>'Customer Satisfaction'!$A$11</c:f>
              <c:strCache>
                <c:ptCount val="1"/>
                <c:pt idx="0">
                  <c:v>Web Content &amp; Usability</c:v>
                </c:pt>
              </c:strCache>
            </c:strRef>
          </c:tx>
          <c:explosion val="25"/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Satisfaction'!$D$11:$H$11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</c:pie3DChart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QoP</a:t>
            </a:r>
          </a:p>
        </c:rich>
      </c:tx>
      <c:layout>
        <c:manualLayout>
          <c:xMode val="edge"/>
          <c:yMode val="edge"/>
          <c:x val="2.2156084656084638E-2"/>
          <c:y val="2.3033553355335534E-2"/>
        </c:manualLayout>
      </c:layout>
      <c:overlay val="1"/>
    </c:title>
    <c:plotArea>
      <c:layout>
        <c:manualLayout>
          <c:layoutTarget val="inner"/>
          <c:xMode val="edge"/>
          <c:yMode val="edge"/>
          <c:x val="8.6111111111110819E-2"/>
          <c:y val="0.18518518518518662"/>
          <c:w val="0.74100415573053369"/>
          <c:h val="0.5"/>
        </c:manualLayout>
      </c:layout>
      <c:barChart>
        <c:barDir val="col"/>
        <c:grouping val="stacked"/>
        <c:ser>
          <c:idx val="0"/>
          <c:order val="0"/>
          <c:tx>
            <c:v>QoP</c:v>
          </c:tx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Satisfaction'!$D$14:$H$14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</c:ser>
        <c:overlap val="100"/>
        <c:axId val="67883776"/>
        <c:axId val="67885312"/>
      </c:barChart>
      <c:catAx>
        <c:axId val="67883776"/>
        <c:scaling>
          <c:orientation val="minMax"/>
        </c:scaling>
        <c:axPos val="b"/>
        <c:tickLblPos val="nextTo"/>
        <c:crossAx val="67885312"/>
        <c:crosses val="autoZero"/>
        <c:auto val="1"/>
        <c:lblAlgn val="ctr"/>
        <c:lblOffset val="100"/>
      </c:catAx>
      <c:valAx>
        <c:axId val="67885312"/>
        <c:scaling>
          <c:orientation val="minMax"/>
        </c:scaling>
        <c:axPos val="l"/>
        <c:majorGridlines/>
        <c:numFmt formatCode="General" sourceLinked="1"/>
        <c:tickLblPos val="nextTo"/>
        <c:crossAx val="678837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Reliability</a:t>
            </a:r>
          </a:p>
        </c:rich>
      </c:tx>
      <c:layout>
        <c:manualLayout>
          <c:xMode val="edge"/>
          <c:yMode val="edge"/>
          <c:x val="3.8602941176470652E-2"/>
          <c:y val="2.2959183673469677E-2"/>
        </c:manualLayout>
      </c:layout>
      <c:overlay val="1"/>
    </c:title>
    <c:view3D>
      <c:rotX val="50"/>
      <c:perspective val="30"/>
    </c:view3D>
    <c:plotArea>
      <c:layout>
        <c:manualLayout>
          <c:layoutTarget val="inner"/>
          <c:xMode val="edge"/>
          <c:yMode val="edge"/>
          <c:x val="3.0555555555555582E-2"/>
          <c:y val="0.18055555555555555"/>
          <c:w val="0.55000000000000004"/>
          <c:h val="0.75925925925925963"/>
        </c:manualLayout>
      </c:layout>
      <c:pie3DChart>
        <c:varyColors val="1"/>
        <c:ser>
          <c:idx val="0"/>
          <c:order val="0"/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Satisfaction'!$D$17:$H$17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58333333333333337"/>
          <c:y val="0.22222222222222221"/>
        </c:manualLayout>
      </c:layout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Customer Service</a:t>
            </a:r>
          </a:p>
        </c:rich>
      </c:tx>
      <c:layout>
        <c:manualLayout>
          <c:xMode val="edge"/>
          <c:yMode val="edge"/>
          <c:x val="2.7695105820106248E-2"/>
          <c:y val="1.9969003338102288E-2"/>
        </c:manualLayout>
      </c:layout>
      <c:overlay val="1"/>
    </c:title>
    <c:view3D>
      <c:rAngAx val="1"/>
    </c:view3D>
    <c:plotArea>
      <c:layout>
        <c:manualLayout>
          <c:layoutTarget val="inner"/>
          <c:xMode val="edge"/>
          <c:yMode val="edge"/>
          <c:x val="7.7495974235105403E-2"/>
          <c:y val="0.14759210908035991"/>
          <c:w val="0.68055555555555569"/>
          <c:h val="0.42436901653611825"/>
        </c:manualLayout>
      </c:layout>
      <c:bar3DChart>
        <c:barDir val="col"/>
        <c:grouping val="standard"/>
        <c:ser>
          <c:idx val="0"/>
          <c:order val="0"/>
          <c:tx>
            <c:strRef>
              <c:f>'Customer Satisfaction'!$A$9</c:f>
              <c:strCache>
                <c:ptCount val="1"/>
                <c:pt idx="0">
                  <c:v>Customer Service</c:v>
                </c:pt>
              </c:strCache>
            </c:strRef>
          </c:tx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Satisfaction'!$D$9:$H$9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shape val="box"/>
        </c:ser>
        <c:shape val="pyramid"/>
        <c:axId val="68308352"/>
        <c:axId val="68318336"/>
        <c:axId val="56936640"/>
      </c:bar3DChart>
      <c:catAx>
        <c:axId val="68308352"/>
        <c:scaling>
          <c:orientation val="minMax"/>
        </c:scaling>
        <c:axPos val="b"/>
        <c:tickLblPos val="nextTo"/>
        <c:crossAx val="68318336"/>
        <c:crosses val="autoZero"/>
        <c:auto val="1"/>
        <c:lblAlgn val="ctr"/>
        <c:lblOffset val="100"/>
      </c:catAx>
      <c:valAx>
        <c:axId val="68318336"/>
        <c:scaling>
          <c:orientation val="minMax"/>
        </c:scaling>
        <c:axPos val="l"/>
        <c:majorGridlines/>
        <c:numFmt formatCode="General" sourceLinked="1"/>
        <c:tickLblPos val="nextTo"/>
        <c:crossAx val="68308352"/>
        <c:crosses val="autoZero"/>
        <c:crossBetween val="between"/>
      </c:valAx>
      <c:serAx>
        <c:axId val="56936640"/>
        <c:scaling>
          <c:orientation val="minMax"/>
        </c:scaling>
        <c:axPos val="b"/>
        <c:tickLblPos val="nextTo"/>
        <c:crossAx val="68318336"/>
        <c:crosses val="autoZero"/>
      </c:serAx>
    </c:plotArea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More Work</a:t>
            </a:r>
          </a:p>
        </c:rich>
      </c:tx>
      <c:layout>
        <c:manualLayout>
          <c:xMode val="edge"/>
          <c:yMode val="edge"/>
          <c:x val="3.0092592592592594E-2"/>
          <c:y val="2.2855133614627675E-2"/>
        </c:manualLayout>
      </c:layout>
      <c:overlay val="1"/>
    </c:title>
    <c:view3D>
      <c:rAngAx val="1"/>
    </c:view3D>
    <c:plotArea>
      <c:layout>
        <c:manualLayout>
          <c:layoutTarget val="inner"/>
          <c:xMode val="edge"/>
          <c:yMode val="edge"/>
          <c:x val="8.4806397306398246E-2"/>
          <c:y val="0.22222222222222221"/>
          <c:w val="0.66388888888889774"/>
          <c:h val="0.51269065325168484"/>
        </c:manualLayout>
      </c:layout>
      <c:bar3DChart>
        <c:barDir val="bar"/>
        <c:grouping val="clustered"/>
        <c:ser>
          <c:idx val="0"/>
          <c:order val="0"/>
          <c:tx>
            <c:strRef>
              <c:f>'Customer Satisfaction'!$A$12</c:f>
              <c:strCache>
                <c:ptCount val="1"/>
                <c:pt idx="0">
                  <c:v>More Work</c:v>
                </c:pt>
              </c:strCache>
            </c:strRef>
          </c:tx>
          <c:val>
            <c:numRef>
              <c:f>'Customer Satisfaction'!$D$12:$H$12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shape val="box"/>
        </c:ser>
        <c:shape val="cone"/>
        <c:axId val="73995008"/>
        <c:axId val="73996544"/>
        <c:axId val="0"/>
      </c:bar3DChart>
      <c:catAx>
        <c:axId val="73995008"/>
        <c:scaling>
          <c:orientation val="minMax"/>
        </c:scaling>
        <c:axPos val="l"/>
        <c:tickLblPos val="nextTo"/>
        <c:crossAx val="73996544"/>
        <c:crosses val="autoZero"/>
        <c:auto val="1"/>
        <c:lblAlgn val="ctr"/>
        <c:lblOffset val="100"/>
      </c:catAx>
      <c:valAx>
        <c:axId val="73996544"/>
        <c:scaling>
          <c:orientation val="minMax"/>
        </c:scaling>
        <c:axPos val="b"/>
        <c:majorGridlines/>
        <c:numFmt formatCode="General" sourceLinked="1"/>
        <c:tickLblPos val="nextTo"/>
        <c:crossAx val="73995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Sales Customer Service</a:t>
            </a:r>
          </a:p>
        </c:rich>
      </c:tx>
      <c:layout>
        <c:manualLayout>
          <c:xMode val="edge"/>
          <c:yMode val="edge"/>
          <c:x val="2.0061728395061731E-2"/>
          <c:y val="3.6568213783403997E-2"/>
        </c:manualLayout>
      </c:layout>
      <c:overlay val="1"/>
    </c:title>
    <c:view3D>
      <c:rAngAx val="1"/>
    </c:view3D>
    <c:plotArea>
      <c:layout>
        <c:manualLayout>
          <c:layoutTarget val="inner"/>
          <c:xMode val="edge"/>
          <c:yMode val="edge"/>
          <c:x val="8.9441382327209246E-2"/>
          <c:y val="0.18055555555555555"/>
          <c:w val="0.68447837150127233"/>
          <c:h val="0.31944444444444842"/>
        </c:manualLayout>
      </c:layout>
      <c:bar3DChart>
        <c:barDir val="col"/>
        <c:grouping val="percentStacked"/>
        <c:ser>
          <c:idx val="0"/>
          <c:order val="0"/>
          <c:tx>
            <c:v>Sales Customer Service</c:v>
          </c:tx>
          <c:cat>
            <c:strRef>
              <c:f>'Customer Satisfaction'!$D$6:$H$6</c:f>
              <c:strCache>
                <c:ptCount val="5"/>
                <c:pt idx="0">
                  <c:v>Poor/Very Dissatisfied</c:v>
                </c:pt>
                <c:pt idx="1">
                  <c:v>Weak/
Dissastisfied</c:v>
                </c:pt>
                <c:pt idx="2">
                  <c:v>Average/
Neutral</c:v>
                </c:pt>
                <c:pt idx="3">
                  <c:v>Strong/
Satisfied</c:v>
                </c:pt>
                <c:pt idx="4">
                  <c:v>Outstanding/
Very Satisfied</c:v>
                </c:pt>
              </c:strCache>
            </c:strRef>
          </c:cat>
          <c:val>
            <c:numRef>
              <c:f>'Customer Satisfaction'!$D$15:$H$15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</c:ser>
        <c:shape val="cylinder"/>
        <c:axId val="76638848"/>
        <c:axId val="86315392"/>
        <c:axId val="0"/>
      </c:bar3DChart>
      <c:catAx>
        <c:axId val="76638848"/>
        <c:scaling>
          <c:orientation val="minMax"/>
        </c:scaling>
        <c:axPos val="b"/>
        <c:tickLblPos val="nextTo"/>
        <c:crossAx val="86315392"/>
        <c:crosses val="autoZero"/>
        <c:auto val="1"/>
        <c:lblAlgn val="ctr"/>
        <c:lblOffset val="100"/>
      </c:catAx>
      <c:valAx>
        <c:axId val="86315392"/>
        <c:scaling>
          <c:orientation val="minMax"/>
        </c:scaling>
        <c:axPos val="l"/>
        <c:majorGridlines/>
        <c:numFmt formatCode="0%" sourceLinked="1"/>
        <c:tickLblPos val="nextTo"/>
        <c:crossAx val="76638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Cost Per Hire</a:t>
            </a:r>
          </a:p>
        </c:rich>
      </c:tx>
      <c:layout>
        <c:manualLayout>
          <c:xMode val="edge"/>
          <c:yMode val="edge"/>
          <c:x val="1.3786764705882514E-2"/>
          <c:y val="2.2959183673469677E-2"/>
        </c:manualLayout>
      </c:layout>
    </c:title>
    <c:view3D>
      <c:perspective val="30"/>
    </c:view3D>
    <c:plotArea>
      <c:layout/>
      <c:bar3DChart>
        <c:barDir val="bar"/>
        <c:grouping val="clustered"/>
        <c:ser>
          <c:idx val="0"/>
          <c:order val="0"/>
          <c:tx>
            <c:strRef>
              <c:f>'Human Resources'!$A$10</c:f>
              <c:strCache>
                <c:ptCount val="1"/>
                <c:pt idx="0">
                  <c:v>Cost Per Hire</c:v>
                </c:pt>
              </c:strCache>
            </c:strRef>
          </c:tx>
          <c:cat>
            <c:strRef>
              <c:f>'Human Resources'!$B$8:$M$8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'Human Resources'!$B$10:$M$10</c:f>
              <c:numCache>
                <c:formatCode>"$"#,##0.00</c:formatCode>
                <c:ptCount val="12"/>
                <c:pt idx="0">
                  <c:v>5840</c:v>
                </c:pt>
                <c:pt idx="1">
                  <c:v>6250</c:v>
                </c:pt>
                <c:pt idx="2">
                  <c:v>6100</c:v>
                </c:pt>
                <c:pt idx="3">
                  <c:v>5960</c:v>
                </c:pt>
                <c:pt idx="4">
                  <c:v>4800</c:v>
                </c:pt>
                <c:pt idx="5">
                  <c:v>6200</c:v>
                </c:pt>
                <c:pt idx="6">
                  <c:v>5589.33</c:v>
                </c:pt>
                <c:pt idx="7">
                  <c:v>5512.48</c:v>
                </c:pt>
                <c:pt idx="8">
                  <c:v>5435.62</c:v>
                </c:pt>
                <c:pt idx="9">
                  <c:v>5358.76</c:v>
                </c:pt>
                <c:pt idx="10">
                  <c:v>5281.9</c:v>
                </c:pt>
                <c:pt idx="11">
                  <c:v>5205.05</c:v>
                </c:pt>
              </c:numCache>
            </c:numRef>
          </c:val>
        </c:ser>
        <c:shape val="box"/>
        <c:axId val="57435264"/>
        <c:axId val="57436800"/>
        <c:axId val="0"/>
      </c:bar3DChart>
      <c:catAx>
        <c:axId val="57435264"/>
        <c:scaling>
          <c:orientation val="minMax"/>
        </c:scaling>
        <c:axPos val="l"/>
        <c:tickLblPos val="nextTo"/>
        <c:crossAx val="57436800"/>
        <c:crosses val="autoZero"/>
        <c:auto val="1"/>
        <c:lblAlgn val="ctr"/>
        <c:lblOffset val="100"/>
      </c:catAx>
      <c:valAx>
        <c:axId val="57436800"/>
        <c:scaling>
          <c:orientation val="minMax"/>
        </c:scaling>
        <c:axPos val="b"/>
        <c:majorGridlines/>
        <c:numFmt formatCode="&quot;$&quot;#,##0.00" sourceLinked="1"/>
        <c:tickLblPos val="nextTo"/>
        <c:crossAx val="57435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Time to Fill New Positions</a:t>
            </a:r>
          </a:p>
        </c:rich>
      </c:tx>
      <c:layout>
        <c:manualLayout>
          <c:xMode val="edge"/>
          <c:yMode val="edge"/>
          <c:x val="1.6544117647059018E-2"/>
          <c:y val="2.2959183673469677E-2"/>
        </c:manualLayout>
      </c:layout>
    </c:title>
    <c:view3D>
      <c:perspective val="30"/>
    </c:view3D>
    <c:plotArea>
      <c:layout>
        <c:manualLayout>
          <c:layoutTarget val="inner"/>
          <c:xMode val="edge"/>
          <c:yMode val="edge"/>
          <c:x val="5.514705882352941E-2"/>
          <c:y val="0.21122448979592007"/>
          <c:w val="0.64662773403325247"/>
          <c:h val="0.68259951881014869"/>
        </c:manualLayout>
      </c:layout>
      <c:bar3DChart>
        <c:barDir val="bar"/>
        <c:grouping val="clustered"/>
        <c:ser>
          <c:idx val="0"/>
          <c:order val="0"/>
          <c:tx>
            <c:strRef>
              <c:f>'Human Resources'!$A$11</c:f>
              <c:strCache>
                <c:ptCount val="1"/>
                <c:pt idx="0">
                  <c:v>Time To Fill New Positions (days)</c:v>
                </c:pt>
              </c:strCache>
            </c:strRef>
          </c:tx>
          <c:cat>
            <c:strRef>
              <c:f>'Human Resources'!$B$8:$M$8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'Human Resources'!$B$11:$M$11</c:f>
              <c:numCache>
                <c:formatCode>General</c:formatCode>
                <c:ptCount val="12"/>
                <c:pt idx="0">
                  <c:v>42</c:v>
                </c:pt>
                <c:pt idx="1">
                  <c:v>31</c:v>
                </c:pt>
                <c:pt idx="2">
                  <c:v>28</c:v>
                </c:pt>
                <c:pt idx="3">
                  <c:v>32</c:v>
                </c:pt>
                <c:pt idx="4">
                  <c:v>35</c:v>
                </c:pt>
                <c:pt idx="5">
                  <c:v>36</c:v>
                </c:pt>
                <c:pt idx="6">
                  <c:v>32</c:v>
                </c:pt>
                <c:pt idx="7">
                  <c:v>40</c:v>
                </c:pt>
                <c:pt idx="8">
                  <c:v>25</c:v>
                </c:pt>
                <c:pt idx="9">
                  <c:v>26</c:v>
                </c:pt>
                <c:pt idx="10">
                  <c:v>36</c:v>
                </c:pt>
                <c:pt idx="11">
                  <c:v>46</c:v>
                </c:pt>
              </c:numCache>
            </c:numRef>
          </c:val>
        </c:ser>
        <c:shape val="box"/>
        <c:axId val="57465472"/>
        <c:axId val="57651584"/>
        <c:axId val="0"/>
      </c:bar3DChart>
      <c:catAx>
        <c:axId val="57465472"/>
        <c:scaling>
          <c:orientation val="minMax"/>
        </c:scaling>
        <c:axPos val="l"/>
        <c:tickLblPos val="nextTo"/>
        <c:crossAx val="57651584"/>
        <c:crosses val="autoZero"/>
        <c:auto val="1"/>
        <c:lblAlgn val="ctr"/>
        <c:lblOffset val="100"/>
      </c:catAx>
      <c:valAx>
        <c:axId val="57651584"/>
        <c:scaling>
          <c:orientation val="minMax"/>
        </c:scaling>
        <c:axPos val="b"/>
        <c:majorGridlines/>
        <c:numFmt formatCode="General" sourceLinked="1"/>
        <c:tickLblPos val="nextTo"/>
        <c:crossAx val="57465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Operating Margin</a:t>
            </a:r>
          </a:p>
        </c:rich>
      </c:tx>
      <c:layout>
        <c:manualLayout>
          <c:xMode val="edge"/>
          <c:yMode val="edge"/>
          <c:x val="1.367845117845118E-2"/>
          <c:y val="2.2855133614627675E-2"/>
        </c:manualLayout>
      </c:layout>
    </c:title>
    <c:view3D>
      <c:rotX val="0"/>
      <c:rotY val="0"/>
      <c:depthPercent val="60"/>
      <c:rAngAx val="1"/>
    </c:view3D>
    <c:plotArea>
      <c:layout/>
      <c:bar3DChart>
        <c:barDir val="bar"/>
        <c:grouping val="clustered"/>
        <c:ser>
          <c:idx val="0"/>
          <c:order val="0"/>
          <c:tx>
            <c:strRef>
              <c:f>'Financial Indicators'!$A$11</c:f>
              <c:strCache>
                <c:ptCount val="1"/>
                <c:pt idx="0">
                  <c:v>Operating Margin</c:v>
                </c:pt>
              </c:strCache>
            </c:strRef>
          </c:tx>
          <c:cat>
            <c:strRef>
              <c:f>('Financial Indicators'!$B$8,'Financial Indicators'!$D$8,'Financial Indicators'!$F$8)</c:f>
              <c:strCache>
                <c:ptCount val="3"/>
                <c:pt idx="0">
                  <c:v>CURRENT MONTH</c:v>
                </c:pt>
                <c:pt idx="1">
                  <c:v>QUARTER-TO-DATE</c:v>
                </c:pt>
                <c:pt idx="2">
                  <c:v>YEAR-TO-DATE</c:v>
                </c:pt>
              </c:strCache>
            </c:strRef>
          </c:cat>
          <c:val>
            <c:numRef>
              <c:f>('Financial Indicators'!$C$11,'Financial Indicators'!$E$11,'Financial Indicators'!$G$11)</c:f>
              <c:numCache>
                <c:formatCode>0.0%</c:formatCode>
                <c:ptCount val="3"/>
                <c:pt idx="0">
                  <c:v>0.13</c:v>
                </c:pt>
                <c:pt idx="1">
                  <c:v>0.11</c:v>
                </c:pt>
                <c:pt idx="2">
                  <c:v>0.109</c:v>
                </c:pt>
              </c:numCache>
            </c:numRef>
          </c:val>
        </c:ser>
        <c:shape val="box"/>
        <c:axId val="57830400"/>
        <c:axId val="57852672"/>
        <c:axId val="0"/>
      </c:bar3DChart>
      <c:catAx>
        <c:axId val="57830400"/>
        <c:scaling>
          <c:orientation val="minMax"/>
        </c:scaling>
        <c:axPos val="l"/>
        <c:majorTickMark val="none"/>
        <c:tickLblPos val="nextTo"/>
        <c:crossAx val="57852672"/>
        <c:crosses val="autoZero"/>
        <c:auto val="1"/>
        <c:lblAlgn val="ctr"/>
        <c:lblOffset val="100"/>
      </c:catAx>
      <c:valAx>
        <c:axId val="57852672"/>
        <c:scaling>
          <c:orientation val="minMax"/>
        </c:scaling>
        <c:axPos val="b"/>
        <c:majorGridlines/>
        <c:numFmt formatCode="0.0%" sourceLinked="1"/>
        <c:majorTickMark val="none"/>
        <c:tickLblPos val="nextTo"/>
        <c:crossAx val="57830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Revenue Growth</a:t>
            </a:r>
          </a:p>
        </c:rich>
      </c:tx>
      <c:layout>
        <c:manualLayout>
          <c:xMode val="edge"/>
          <c:yMode val="edge"/>
          <c:x val="3.5487959442332066E-2"/>
          <c:y val="2.7777777777778141E-2"/>
        </c:manualLayout>
      </c:layout>
    </c:title>
    <c:view3D>
      <c:rotX val="0"/>
      <c:rotY val="0"/>
      <c:perspective val="0"/>
    </c:view3D>
    <c:plotArea>
      <c:layout/>
      <c:bar3DChart>
        <c:barDir val="bar"/>
        <c:grouping val="clustered"/>
        <c:ser>
          <c:idx val="0"/>
          <c:order val="0"/>
          <c:tx>
            <c:strRef>
              <c:f>'Financial Indicators'!$A$10</c:f>
              <c:strCache>
                <c:ptCount val="1"/>
                <c:pt idx="0">
                  <c:v>Revenue Growth</c:v>
                </c:pt>
              </c:strCache>
            </c:strRef>
          </c:tx>
          <c:cat>
            <c:strRef>
              <c:f>('Financial Indicators'!$B$8,'Financial Indicators'!$D$8,'Financial Indicators'!$F$8)</c:f>
              <c:strCache>
                <c:ptCount val="3"/>
                <c:pt idx="0">
                  <c:v>CURRENT MONTH</c:v>
                </c:pt>
                <c:pt idx="1">
                  <c:v>QUARTER-TO-DATE</c:v>
                </c:pt>
                <c:pt idx="2">
                  <c:v>YEAR-TO-DATE</c:v>
                </c:pt>
              </c:strCache>
            </c:strRef>
          </c:cat>
          <c:val>
            <c:numRef>
              <c:f>('Financial Indicators'!$C$10,'Financial Indicators'!$E$10,'Financial Indicators'!$G$10)</c:f>
              <c:numCache>
                <c:formatCode>0.0%</c:formatCode>
                <c:ptCount val="3"/>
                <c:pt idx="0">
                  <c:v>9.8000000000000004E-2</c:v>
                </c:pt>
                <c:pt idx="1">
                  <c:v>0.123</c:v>
                </c:pt>
                <c:pt idx="2">
                  <c:v>0.1011</c:v>
                </c:pt>
              </c:numCache>
            </c:numRef>
          </c:val>
        </c:ser>
        <c:shape val="box"/>
        <c:axId val="58369920"/>
        <c:axId val="58371456"/>
        <c:axId val="0"/>
      </c:bar3DChart>
      <c:catAx>
        <c:axId val="58369920"/>
        <c:scaling>
          <c:orientation val="minMax"/>
        </c:scaling>
        <c:axPos val="l"/>
        <c:majorTickMark val="none"/>
        <c:tickLblPos val="nextTo"/>
        <c:crossAx val="58371456"/>
        <c:crosses val="autoZero"/>
        <c:auto val="1"/>
        <c:lblAlgn val="ctr"/>
        <c:lblOffset val="100"/>
      </c:catAx>
      <c:valAx>
        <c:axId val="58371456"/>
        <c:scaling>
          <c:orientation val="minMax"/>
        </c:scaling>
        <c:axPos val="b"/>
        <c:majorGridlines/>
        <c:numFmt formatCode="0.0%" sourceLinked="1"/>
        <c:majorTickMark val="none"/>
        <c:tickLblPos val="nextTo"/>
        <c:crossAx val="58369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" y="10296525"/>
    <xdr:ext cx="4572000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9050" y="13225463"/>
    <xdr:ext cx="4572000" cy="274320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0.11431</cdr:x>
      <cdr:y>0.15534</cdr:y>
    </cdr:from>
    <cdr:to>
      <cdr:x>0.31431</cdr:x>
      <cdr:y>0.48867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522625" y="426128"/>
          <a:ext cx="914400" cy="9143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000">
            <a:solidFill>
              <a:sysClr val="windowText" lastClr="000000"/>
            </a:solidFill>
            <a:latin typeface="+mn-lt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-1731</xdr:colOff>
      <xdr:row>19</xdr:row>
      <xdr:rowOff>54552</xdr:rowOff>
    </xdr:from>
    <xdr:ext cx="4572000" cy="274320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807894</xdr:colOff>
      <xdr:row>19</xdr:row>
      <xdr:rowOff>54552</xdr:rowOff>
    </xdr:from>
    <xdr:ext cx="4572000" cy="2743200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9</xdr:col>
      <xdr:colOff>512619</xdr:colOff>
      <xdr:row>19</xdr:row>
      <xdr:rowOff>54552</xdr:rowOff>
    </xdr:from>
    <xdr:ext cx="5212080" cy="2743200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0</xdr:col>
      <xdr:colOff>-1731</xdr:colOff>
      <xdr:row>37</xdr:row>
      <xdr:rowOff>121227</xdr:rowOff>
    </xdr:from>
    <xdr:ext cx="4572000" cy="2743200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3</xdr:col>
      <xdr:colOff>807894</xdr:colOff>
      <xdr:row>37</xdr:row>
      <xdr:rowOff>121227</xdr:rowOff>
    </xdr:from>
    <xdr:ext cx="4572000" cy="2743200"/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9</xdr:col>
      <xdr:colOff>512619</xdr:colOff>
      <xdr:row>37</xdr:row>
      <xdr:rowOff>121227</xdr:rowOff>
    </xdr:from>
    <xdr:ext cx="4572000" cy="2743200"/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0</xdr:col>
      <xdr:colOff>19050</xdr:colOff>
      <xdr:row>57</xdr:row>
      <xdr:rowOff>152400</xdr:rowOff>
    </xdr:from>
    <xdr:ext cx="4572000" cy="2743200"/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3</xdr:col>
      <xdr:colOff>838200</xdr:colOff>
      <xdr:row>57</xdr:row>
      <xdr:rowOff>152400</xdr:rowOff>
    </xdr:from>
    <xdr:ext cx="4572000" cy="2743200"/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9</xdr:col>
      <xdr:colOff>485775</xdr:colOff>
      <xdr:row>57</xdr:row>
      <xdr:rowOff>152400</xdr:rowOff>
    </xdr:from>
    <xdr:ext cx="4572000" cy="2743200"/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26</xdr:row>
      <xdr:rowOff>39781</xdr:rowOff>
    </xdr:from>
    <xdr:ext cx="4572000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714375</xdr:colOff>
      <xdr:row>26</xdr:row>
      <xdr:rowOff>49306</xdr:rowOff>
    </xdr:from>
    <xdr:ext cx="4572000" cy="274320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42182</xdr:colOff>
      <xdr:row>15</xdr:row>
      <xdr:rowOff>19050</xdr:rowOff>
    </xdr:from>
    <xdr:ext cx="4572000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209550</xdr:colOff>
      <xdr:row>15</xdr:row>
      <xdr:rowOff>19050</xdr:rowOff>
    </xdr:from>
    <xdr:ext cx="4572000" cy="274320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queryTables/queryTable1.xml><?xml version="1.0" encoding="utf-8"?>
<queryTable xmlns="http://schemas.openxmlformats.org/spreadsheetml/2006/main" name="values" backgroundRefresh="0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Company Name" tableColumnId="1"/>
      <queryTableField id="6" name="Company Performance" tableColumnId="2"/>
      <queryTableField id="3" name="Recommendation" tableColumnId="3"/>
      <queryTableField id="4" name="Customer Service" tableColumnId="4"/>
      <queryTableField id="5" name="Representative Knowledge" tableColumnId="5"/>
      <queryTableField id="2" name="Web Usability" tableColumnId="6"/>
      <queryTableField id="9" name="Quality of Product" tableColumnId="7"/>
      <queryTableField id="7" name="Quality of Service" tableColumnId="8"/>
      <queryTableField id="12" name="Reliability" tableColumnId="9"/>
      <queryTableField id="10" name="Sales Customer Service" tableColumnId="10"/>
      <queryTableField id="11" name="Sales Effectiveness" tableColumnId="11"/>
      <queryTableField id="8" name="More Work" tableColumnId="12"/>
      <queryTableField id="14" name="Item Type" tableColumnId="13"/>
      <queryTableField id="13" name="Path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values" displayName="Table_values" ref="A1:N13" tableType="queryTable" totalsRowShown="0" dataDxfId="14">
  <autoFilter ref="A1:N13"/>
  <tableColumns count="14">
    <tableColumn id="1" uniqueName="Company_x005f_x0020_Name" name="Company Name" queryTableFieldId="1" dataDxfId="13"/>
    <tableColumn id="2" uniqueName="Company_x005f_x0020_Performance" name="Company Performance" queryTableFieldId="6" dataDxfId="12"/>
    <tableColumn id="3" uniqueName="Recommendation" name="Recommendation" queryTableFieldId="3" dataDxfId="11"/>
    <tableColumn id="4" uniqueName="Customer_x005f_x0020_Service" name="Customer Service" queryTableFieldId="4" dataDxfId="10"/>
    <tableColumn id="5" uniqueName="Representative_x005f_x0020_Knowledge" name="Representative Knowledge" queryTableFieldId="5" dataDxfId="9"/>
    <tableColumn id="6" uniqueName="Web_x005f_x0020_Usability" name="Web Usability" queryTableFieldId="2" dataDxfId="8"/>
    <tableColumn id="7" uniqueName="Quality_x005f_x0020_of_x005f_x0020_Product" name="Quality of Product" queryTableFieldId="9" dataDxfId="7"/>
    <tableColumn id="8" uniqueName="Quality_x005f_x0020_of_x005f_x0020_Service" name="Quality of Service" queryTableFieldId="7" dataDxfId="6"/>
    <tableColumn id="9" uniqueName="Reliability" name="Reliability" queryTableFieldId="12" dataDxfId="5"/>
    <tableColumn id="10" uniqueName="Sales_x005f_x0020_Customer_x005f_x0020_Service" name="Sales Customer Service" queryTableFieldId="10" dataDxfId="4"/>
    <tableColumn id="11" uniqueName="Sales_x005f_x0020_Effectiveness" name="Sales Effectiveness" queryTableFieldId="11" dataDxfId="3"/>
    <tableColumn id="12" uniqueName="More_x005f_x0020_Work" name="More Work" queryTableFieldId="8" dataDxfId="2"/>
    <tableColumn id="13" uniqueName="FSObjType" name="Item Type" queryTableFieldId="14" dataDxfId="1"/>
    <tableColumn id="14" uniqueName="FileDirRef" name="Path" queryTableFieldId="1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</sheetPr>
  <dimension ref="A1:D51"/>
  <sheetViews>
    <sheetView showGridLines="0" tabSelected="1" workbookViewId="0"/>
  </sheetViews>
  <sheetFormatPr defaultRowHeight="15"/>
  <cols>
    <col min="1" max="1" width="25.7109375" customWidth="1"/>
    <col min="2" max="2" width="12.7109375" customWidth="1"/>
    <col min="3" max="3" width="27.5703125" customWidth="1"/>
    <col min="4" max="4" width="16.42578125" style="1" customWidth="1"/>
  </cols>
  <sheetData>
    <row r="1" spans="1:4">
      <c r="A1" s="80" t="str">
        <f>'Customer Satisfaction'!A1</f>
        <v>[Company Name]</v>
      </c>
    </row>
    <row r="2" spans="1:4" ht="13.7" customHeight="1">
      <c r="A2" s="7" t="s">
        <v>93</v>
      </c>
      <c r="C2" s="79"/>
    </row>
    <row r="3" spans="1:4" ht="13.7" customHeight="1">
      <c r="A3" s="7" t="s">
        <v>99</v>
      </c>
    </row>
    <row r="4" spans="1:4" ht="42" customHeight="1">
      <c r="A4" s="8" t="s">
        <v>8</v>
      </c>
      <c r="B4" s="8"/>
    </row>
    <row r="5" spans="1:4" ht="13.5" customHeight="1">
      <c r="A5" s="73"/>
      <c r="B5" s="73"/>
      <c r="C5" s="73"/>
      <c r="D5" s="73"/>
    </row>
    <row r="6" spans="1:4" ht="15.75" customHeight="1">
      <c r="A6" s="18"/>
      <c r="B6" s="18"/>
      <c r="C6" s="18"/>
      <c r="D6" s="18"/>
    </row>
    <row r="7" spans="1:4" ht="18.75" customHeight="1" thickBot="1">
      <c r="A7" s="74" t="s">
        <v>85</v>
      </c>
      <c r="B7" s="74"/>
      <c r="C7" s="84" t="s">
        <v>86</v>
      </c>
      <c r="D7" s="84"/>
    </row>
    <row r="8" spans="1:4" s="3" customFormat="1" ht="16.5" thickBot="1">
      <c r="A8" s="82" t="s">
        <v>3</v>
      </c>
      <c r="B8" s="82"/>
      <c r="C8" s="82" t="s">
        <v>9</v>
      </c>
      <c r="D8" s="82"/>
    </row>
    <row r="9" spans="1:4" ht="15" customHeight="1" thickTop="1">
      <c r="A9" s="9" t="s">
        <v>10</v>
      </c>
      <c r="B9" s="35">
        <f>COUNTIF(Table_values[Company Performance],1)</f>
        <v>3</v>
      </c>
      <c r="C9" s="31" t="s">
        <v>15</v>
      </c>
      <c r="D9" s="35">
        <f>AVERAGE('Human Resources'!B9:'Human Resources'!M9)</f>
        <v>3.5</v>
      </c>
    </row>
    <row r="10" spans="1:4" ht="15" customHeight="1">
      <c r="A10" s="9" t="s">
        <v>11</v>
      </c>
      <c r="B10" s="35">
        <f>COUNTIF(Table_values[Company Performance],2)</f>
        <v>2</v>
      </c>
      <c r="C10" s="30" t="s">
        <v>16</v>
      </c>
      <c r="D10" s="35">
        <f>AVERAGE('Human Resources'!B9:'Human Resources'!D9)</f>
        <v>3</v>
      </c>
    </row>
    <row r="11" spans="1:4" ht="15" customHeight="1">
      <c r="A11" s="9" t="s">
        <v>12</v>
      </c>
      <c r="B11" s="35">
        <f>COUNTIF(Table_values[Company Performance],3)</f>
        <v>5</v>
      </c>
      <c r="C11" s="30" t="s">
        <v>17</v>
      </c>
      <c r="D11" s="35">
        <f>AVERAGE('Human Resources'!E9:'Human Resources'!G9)</f>
        <v>4</v>
      </c>
    </row>
    <row r="12" spans="1:4" ht="15" customHeight="1">
      <c r="A12" s="9" t="s">
        <v>13</v>
      </c>
      <c r="B12" s="35">
        <f>COUNTIF(Table_values[Company Performance],4)</f>
        <v>0</v>
      </c>
      <c r="C12" s="30" t="s">
        <v>18</v>
      </c>
      <c r="D12" s="35">
        <f>AVERAGE('Human Resources'!H9:'Human Resources'!J9)</f>
        <v>3</v>
      </c>
    </row>
    <row r="13" spans="1:4" ht="15" customHeight="1">
      <c r="A13" s="9" t="s">
        <v>14</v>
      </c>
      <c r="B13" s="35">
        <f>COUNTIF(Table_values[Company Performance],5)</f>
        <v>2</v>
      </c>
      <c r="C13" s="30" t="s">
        <v>19</v>
      </c>
      <c r="D13" s="35">
        <f>AVERAGE('Human Resources'!K9:'Human Resources'!M9)</f>
        <v>4</v>
      </c>
    </row>
    <row r="14" spans="1:4" ht="15.75" thickBot="1">
      <c r="A14" s="1"/>
      <c r="B14" s="27"/>
      <c r="C14" s="32"/>
      <c r="D14" s="27"/>
    </row>
    <row r="15" spans="1:4" s="4" customFormat="1" ht="15.75" customHeight="1" thickBot="1">
      <c r="A15" s="81" t="s">
        <v>0</v>
      </c>
      <c r="B15" s="81"/>
      <c r="C15" s="81" t="s">
        <v>20</v>
      </c>
      <c r="D15" s="81"/>
    </row>
    <row r="16" spans="1:4" s="2" customFormat="1" ht="15" customHeight="1" thickTop="1">
      <c r="A16" s="9" t="s">
        <v>21</v>
      </c>
      <c r="B16" s="35">
        <f>COUNTIF(Table_values[Recommendation],1)</f>
        <v>6</v>
      </c>
      <c r="C16" s="31" t="s">
        <v>15</v>
      </c>
      <c r="D16" s="36" t="str">
        <f>'Human Resources'!B16</f>
        <v>5.2 years</v>
      </c>
    </row>
    <row r="17" spans="1:4" s="2" customFormat="1" ht="15" customHeight="1">
      <c r="A17" s="9" t="s">
        <v>22</v>
      </c>
      <c r="B17" s="35">
        <f>COUNTIF(Table_values[Recommendation],0)</f>
        <v>0</v>
      </c>
      <c r="C17" s="30"/>
      <c r="D17" s="36"/>
    </row>
    <row r="18" spans="1:4" ht="15.75" thickBot="1">
      <c r="A18" s="1"/>
      <c r="B18" s="27"/>
      <c r="C18" s="33"/>
      <c r="D18" s="37"/>
    </row>
    <row r="19" spans="1:4" s="1" customFormat="1" ht="15.75" thickBot="1">
      <c r="A19" s="81" t="s">
        <v>1</v>
      </c>
      <c r="B19" s="81"/>
      <c r="C19" s="81" t="s">
        <v>23</v>
      </c>
      <c r="D19" s="81"/>
    </row>
    <row r="20" spans="1:4" ht="15" customHeight="1" thickTop="1">
      <c r="A20" s="9" t="s">
        <v>10</v>
      </c>
      <c r="B20" s="35">
        <f>COUNTIF(Table_values[Customer Service],1)</f>
        <v>2</v>
      </c>
      <c r="C20" s="31" t="s">
        <v>15</v>
      </c>
      <c r="D20" s="36">
        <f>'Human Resources'!B23</f>
        <v>15</v>
      </c>
    </row>
    <row r="21" spans="1:4" ht="15" customHeight="1">
      <c r="A21" s="9" t="s">
        <v>11</v>
      </c>
      <c r="B21" s="35">
        <f>COUNTIF(Table_values[Customer Service],2)</f>
        <v>4</v>
      </c>
      <c r="C21" s="30"/>
      <c r="D21" s="36"/>
    </row>
    <row r="22" spans="1:4" ht="15" customHeight="1">
      <c r="A22" s="9" t="s">
        <v>12</v>
      </c>
      <c r="B22" s="35">
        <f>COUNTIF(Table_values[Customer Service],3)</f>
        <v>1</v>
      </c>
      <c r="C22" s="30"/>
      <c r="D22" s="36"/>
    </row>
    <row r="23" spans="1:4" ht="15" customHeight="1">
      <c r="A23" s="9" t="s">
        <v>13</v>
      </c>
      <c r="B23" s="35">
        <f>COUNTIF(Table_values[Customer Service],4)</f>
        <v>3</v>
      </c>
      <c r="C23" s="30"/>
      <c r="D23" s="36"/>
    </row>
    <row r="24" spans="1:4" ht="15" customHeight="1">
      <c r="A24" s="9" t="s">
        <v>14</v>
      </c>
      <c r="B24" s="35">
        <f>COUNTIF(Table_values[Customer Service],5)</f>
        <v>2</v>
      </c>
      <c r="C24" s="30"/>
      <c r="D24" s="36"/>
    </row>
    <row r="25" spans="1:4" ht="15" customHeight="1" thickBot="1">
      <c r="A25" s="1"/>
      <c r="B25" s="27"/>
      <c r="C25" s="30"/>
      <c r="D25" s="37"/>
    </row>
    <row r="26" spans="1:4" ht="15.75" customHeight="1" thickBot="1">
      <c r="A26" s="81" t="s">
        <v>2</v>
      </c>
      <c r="B26" s="81"/>
      <c r="C26" s="30"/>
      <c r="D26" s="37"/>
    </row>
    <row r="27" spans="1:4" ht="15" customHeight="1" thickTop="1">
      <c r="A27" s="9" t="s">
        <v>10</v>
      </c>
      <c r="B27" s="35">
        <f>COUNTIF(Table_values[Representative Knowledge],1)</f>
        <v>2</v>
      </c>
      <c r="C27" s="30"/>
      <c r="D27" s="37"/>
    </row>
    <row r="28" spans="1:4" ht="15" customHeight="1">
      <c r="A28" s="9" t="s">
        <v>11</v>
      </c>
      <c r="B28" s="35">
        <f>COUNTIF(Table_values[Representative Knowledge],2)</f>
        <v>1</v>
      </c>
      <c r="C28" s="30"/>
      <c r="D28" s="37"/>
    </row>
    <row r="29" spans="1:4" ht="15" customHeight="1">
      <c r="A29" s="9" t="s">
        <v>12</v>
      </c>
      <c r="B29" s="35">
        <f>COUNTIF(Table_values[Representative Knowledge],3)</f>
        <v>3</v>
      </c>
      <c r="C29" s="28"/>
      <c r="D29" s="37"/>
    </row>
    <row r="30" spans="1:4" ht="15" customHeight="1">
      <c r="A30" s="9" t="s">
        <v>13</v>
      </c>
      <c r="B30" s="35">
        <f>COUNTIF(Table_values[Representative Knowledge],4)</f>
        <v>4</v>
      </c>
      <c r="C30" s="35"/>
      <c r="D30" s="37"/>
    </row>
    <row r="31" spans="1:4" ht="15" customHeight="1">
      <c r="A31" s="9" t="s">
        <v>14</v>
      </c>
      <c r="B31" s="35">
        <f>COUNTIF(Table_values[Representative Knowledge],5)</f>
        <v>2</v>
      </c>
      <c r="C31" s="30"/>
      <c r="D31" s="37"/>
    </row>
    <row r="32" spans="1:4" ht="15" customHeight="1" thickBot="1">
      <c r="A32" s="25"/>
      <c r="B32" s="39"/>
      <c r="C32" s="34"/>
      <c r="D32" s="38"/>
    </row>
    <row r="33" spans="1:4" ht="15" customHeight="1" thickTop="1">
      <c r="A33" s="9"/>
      <c r="B33" s="13"/>
      <c r="C33" s="9"/>
    </row>
    <row r="34" spans="1:4" ht="18.75" customHeight="1" thickBot="1">
      <c r="A34" s="83" t="s">
        <v>87</v>
      </c>
      <c r="B34" s="83"/>
      <c r="C34" s="75" t="s">
        <v>88</v>
      </c>
      <c r="D34" s="75"/>
    </row>
    <row r="35" spans="1:4" ht="15.75" customHeight="1" thickBot="1">
      <c r="A35" s="82" t="s">
        <v>25</v>
      </c>
      <c r="B35" s="82"/>
      <c r="C35" s="82" t="s">
        <v>26</v>
      </c>
      <c r="D35" s="82"/>
    </row>
    <row r="36" spans="1:4" ht="15.75" thickTop="1">
      <c r="A36" s="9" t="s">
        <v>30</v>
      </c>
      <c r="B36" s="35">
        <f>Operations!B8</f>
        <v>124</v>
      </c>
      <c r="C36" s="30" t="s">
        <v>30</v>
      </c>
      <c r="D36" s="40">
        <f>'Financial Indicators'!C10</f>
        <v>9.8000000000000004E-2</v>
      </c>
    </row>
    <row r="37" spans="1:4">
      <c r="A37" s="9" t="s">
        <v>31</v>
      </c>
      <c r="B37" s="35">
        <f>Operations!C8</f>
        <v>980</v>
      </c>
      <c r="C37" s="30" t="s">
        <v>31</v>
      </c>
      <c r="D37" s="40">
        <f>'Financial Indicators'!E10</f>
        <v>0.123</v>
      </c>
    </row>
    <row r="38" spans="1:4">
      <c r="A38" s="9" t="s">
        <v>32</v>
      </c>
      <c r="B38" s="35">
        <f>Operations!D9</f>
        <v>2</v>
      </c>
      <c r="C38" s="30" t="s">
        <v>32</v>
      </c>
      <c r="D38" s="40">
        <f>'Financial Indicators'!G10</f>
        <v>0.1011</v>
      </c>
    </row>
    <row r="39" spans="1:4" ht="15.75" thickBot="1">
      <c r="A39" s="1"/>
      <c r="B39" s="35"/>
      <c r="C39" s="28"/>
      <c r="D39" s="41"/>
    </row>
    <row r="40" spans="1:4" ht="15.75" thickBot="1">
      <c r="A40" s="81" t="s">
        <v>27</v>
      </c>
      <c r="B40" s="81"/>
      <c r="C40" s="81" t="s">
        <v>28</v>
      </c>
      <c r="D40" s="81"/>
    </row>
    <row r="41" spans="1:4" ht="15.75" thickTop="1">
      <c r="A41" s="9" t="s">
        <v>33</v>
      </c>
      <c r="B41" s="35"/>
      <c r="C41" s="30" t="s">
        <v>30</v>
      </c>
      <c r="D41" s="40">
        <f>'Financial Indicators'!C11</f>
        <v>0.13</v>
      </c>
    </row>
    <row r="42" spans="1:4">
      <c r="A42" s="9" t="s">
        <v>30</v>
      </c>
      <c r="B42" s="35">
        <f>Operations!B12</f>
        <v>32</v>
      </c>
      <c r="C42" s="30" t="s">
        <v>31</v>
      </c>
      <c r="D42" s="40">
        <f>'Financial Indicators'!E11</f>
        <v>0.11</v>
      </c>
    </row>
    <row r="43" spans="1:4">
      <c r="A43" s="9" t="s">
        <v>31</v>
      </c>
      <c r="B43" s="35">
        <f>Operations!C12</f>
        <v>112</v>
      </c>
      <c r="C43" s="30" t="s">
        <v>32</v>
      </c>
      <c r="D43" s="40">
        <f>'Financial Indicators'!G7</f>
        <v>0</v>
      </c>
    </row>
    <row r="44" spans="1:4" ht="15.75" thickBot="1">
      <c r="A44" s="9" t="s">
        <v>32</v>
      </c>
      <c r="B44" s="35">
        <f>Operations!D12</f>
        <v>143</v>
      </c>
      <c r="C44" s="30"/>
      <c r="D44" s="40"/>
    </row>
    <row r="45" spans="1:4" ht="15.75" thickBot="1">
      <c r="A45" s="81" t="s">
        <v>29</v>
      </c>
      <c r="B45" s="81"/>
      <c r="C45" s="28"/>
      <c r="D45" s="37"/>
    </row>
    <row r="46" spans="1:4" ht="15.75" thickTop="1">
      <c r="A46" s="9" t="s">
        <v>34</v>
      </c>
      <c r="B46" s="35"/>
      <c r="C46" s="28"/>
      <c r="D46" s="37"/>
    </row>
    <row r="47" spans="1:4">
      <c r="A47" s="9" t="s">
        <v>30</v>
      </c>
      <c r="B47" s="35">
        <f>Operations!B9</f>
        <v>3</v>
      </c>
      <c r="C47" s="28"/>
      <c r="D47" s="37"/>
    </row>
    <row r="48" spans="1:4">
      <c r="A48" s="9" t="s">
        <v>31</v>
      </c>
      <c r="B48" s="35">
        <f>Operations!C9</f>
        <v>4</v>
      </c>
      <c r="C48" s="28"/>
      <c r="D48" s="37"/>
    </row>
    <row r="49" spans="1:4">
      <c r="A49" s="9" t="s">
        <v>32</v>
      </c>
      <c r="B49" s="35">
        <f>Operations!D9</f>
        <v>2</v>
      </c>
      <c r="C49" s="28"/>
      <c r="D49" s="37"/>
    </row>
    <row r="50" spans="1:4" ht="15.75" thickBot="1">
      <c r="A50" s="24"/>
      <c r="B50" s="39"/>
      <c r="C50" s="29"/>
      <c r="D50" s="38"/>
    </row>
    <row r="51" spans="1:4" ht="15.75" thickTop="1"/>
  </sheetData>
  <mergeCells count="14">
    <mergeCell ref="C7:D7"/>
    <mergeCell ref="A8:B8"/>
    <mergeCell ref="C8:D8"/>
    <mergeCell ref="A40:B40"/>
    <mergeCell ref="C40:D40"/>
    <mergeCell ref="C15:D15"/>
    <mergeCell ref="C19:D19"/>
    <mergeCell ref="A19:B19"/>
    <mergeCell ref="A15:B15"/>
    <mergeCell ref="A45:B45"/>
    <mergeCell ref="A26:B26"/>
    <mergeCell ref="A35:B35"/>
    <mergeCell ref="C35:D35"/>
    <mergeCell ref="A34:B34"/>
  </mergeCells>
  <pageMargins left="0.7" right="0.7" top="0.75" bottom="0.75" header="0.3" footer="0.3"/>
  <pageSetup orientation="portrait" horizontalDpi="300" verticalDpi="300" r:id="rId1"/>
  <headerFooter>
    <oddFooter>&amp;L&amp;9Page &amp;P     CONFINDENTIAL | Business Performance &amp;R&amp;9&amp;D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5"/>
  </sheetPr>
  <dimension ref="A1:K19"/>
  <sheetViews>
    <sheetView showGridLines="0" workbookViewId="0"/>
  </sheetViews>
  <sheetFormatPr defaultRowHeight="15"/>
  <cols>
    <col min="1" max="1" width="28.85546875" customWidth="1"/>
    <col min="2" max="3" width="15.7109375" customWidth="1"/>
    <col min="4" max="8" width="12.7109375" customWidth="1"/>
    <col min="9" max="9" width="14.140625" customWidth="1"/>
    <col min="10" max="11" width="8.7109375" customWidth="1"/>
  </cols>
  <sheetData>
    <row r="1" spans="1:11" ht="15.75" customHeight="1">
      <c r="A1" s="77" t="s">
        <v>100</v>
      </c>
    </row>
    <row r="2" spans="1:11" ht="12.75" customHeight="1">
      <c r="A2" s="78" t="s">
        <v>94</v>
      </c>
    </row>
    <row r="3" spans="1:11" ht="12.75" customHeight="1">
      <c r="A3" s="78" t="s">
        <v>99</v>
      </c>
    </row>
    <row r="4" spans="1:11" ht="42" customHeight="1">
      <c r="A4" s="8" t="s">
        <v>35</v>
      </c>
      <c r="B4" s="8"/>
    </row>
    <row r="5" spans="1:11" ht="13.5" customHeight="1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</row>
    <row r="6" spans="1:11" ht="40.5" customHeight="1" thickBot="1">
      <c r="A6" s="14"/>
      <c r="B6" s="43" t="s">
        <v>89</v>
      </c>
      <c r="C6" s="43" t="s">
        <v>90</v>
      </c>
      <c r="D6" s="43" t="s">
        <v>36</v>
      </c>
      <c r="E6" s="43" t="s">
        <v>43</v>
      </c>
      <c r="F6" s="43" t="s">
        <v>42</v>
      </c>
      <c r="G6" s="43" t="s">
        <v>41</v>
      </c>
      <c r="H6" s="43" t="s">
        <v>40</v>
      </c>
      <c r="I6" s="43" t="s">
        <v>37</v>
      </c>
      <c r="J6" s="43" t="s">
        <v>38</v>
      </c>
      <c r="K6" s="43" t="s">
        <v>39</v>
      </c>
    </row>
    <row r="7" spans="1:11" ht="15.75" thickTop="1">
      <c r="A7" s="9" t="s">
        <v>3</v>
      </c>
      <c r="B7" s="13">
        <f>COUNTA(Table_values[Company Name])</f>
        <v>12</v>
      </c>
      <c r="C7" s="15">
        <f>COUNTA(Table_values[Company Performance])</f>
        <v>12</v>
      </c>
      <c r="D7" s="15">
        <f>COUNTIF(Table_values[Company Performance],1)</f>
        <v>3</v>
      </c>
      <c r="E7" s="15">
        <f>COUNTIF(Table_values[Company Performance],2)</f>
        <v>2</v>
      </c>
      <c r="F7" s="15">
        <f>COUNTIF(Table_values[Company Performance],3)</f>
        <v>5</v>
      </c>
      <c r="G7" s="15">
        <f>COUNTIF(Table_values[Company Performance],4)</f>
        <v>0</v>
      </c>
      <c r="H7" s="15">
        <f>COUNTIF(Table_values[Company Performance],5)</f>
        <v>2</v>
      </c>
      <c r="I7" s="22">
        <f>IF(C7=0,"",((D7*1)+(E7*2)+(F7*3)+(G7*4)+(H7*5))/C7)</f>
        <v>2.6666666666666665</v>
      </c>
      <c r="J7" s="15"/>
      <c r="K7" s="13"/>
    </row>
    <row r="8" spans="1:11">
      <c r="A8" s="9" t="s">
        <v>0</v>
      </c>
      <c r="B8" s="13">
        <f>COUNTA(Table_values[Company Name])</f>
        <v>12</v>
      </c>
      <c r="C8" s="16">
        <f>COUNTA(Table_values[Recommendation])</f>
        <v>12</v>
      </c>
      <c r="D8" s="16"/>
      <c r="E8" s="16"/>
      <c r="F8" s="16"/>
      <c r="G8" s="16"/>
      <c r="H8" s="16"/>
      <c r="I8" s="42"/>
      <c r="J8" s="16">
        <f>COUNTIF(Table_values[Recommendation],1)</f>
        <v>6</v>
      </c>
      <c r="K8" s="13">
        <f>COUNTIF(Table_values[Recommendation],2)</f>
        <v>6</v>
      </c>
    </row>
    <row r="9" spans="1:11">
      <c r="A9" s="9" t="s">
        <v>1</v>
      </c>
      <c r="B9" s="13">
        <f>COUNTA(Table_values[Company Name])</f>
        <v>12</v>
      </c>
      <c r="C9" s="16">
        <f>COUNTA(Table_values[Customer Service])</f>
        <v>12</v>
      </c>
      <c r="D9" s="16">
        <f>COUNTIF(Table_values[Customer Service],1)</f>
        <v>2</v>
      </c>
      <c r="E9" s="16">
        <f>COUNTIF(Table_values[Customer Service],2)</f>
        <v>4</v>
      </c>
      <c r="F9" s="16">
        <f>COUNTIF(Table_values[Customer Service],3)</f>
        <v>1</v>
      </c>
      <c r="G9" s="16">
        <f>COUNTIF(Table_values[Customer Service],4)</f>
        <v>3</v>
      </c>
      <c r="H9" s="16">
        <f>COUNTIF(Table_values[Customer Service],5)</f>
        <v>2</v>
      </c>
      <c r="I9" s="42">
        <f>IF(C9=0,"",((D9*1)+(D9*2)+(F9*3)+(G9*4)+(H9*5))/C9)</f>
        <v>2.5833333333333335</v>
      </c>
      <c r="J9" s="16"/>
      <c r="K9" s="13"/>
    </row>
    <row r="10" spans="1:11">
      <c r="A10" s="9" t="s">
        <v>2</v>
      </c>
      <c r="B10" s="13">
        <f>COUNTA(Table_values[Company Name])</f>
        <v>12</v>
      </c>
      <c r="C10" s="16">
        <f>COUNTA(Table_values[Representative Knowledge])</f>
        <v>12</v>
      </c>
      <c r="D10" s="16">
        <f>COUNTIF(Table_values[Representative Knowledge],1)</f>
        <v>2</v>
      </c>
      <c r="E10" s="16">
        <f>COUNTIF(Table_values[Representative Knowledge],2)</f>
        <v>1</v>
      </c>
      <c r="F10" s="16">
        <f>COUNTIF(Table_values[Representative Knowledge],3)</f>
        <v>3</v>
      </c>
      <c r="G10" s="16">
        <f>COUNTIF(Table_values[Representative Knowledge],4)</f>
        <v>4</v>
      </c>
      <c r="H10" s="16">
        <f>COUNTIF(Table_values[Representative Knowledge],5)</f>
        <v>2</v>
      </c>
      <c r="I10" s="42">
        <f t="shared" ref="I10:I17" si="0">IF(C10=0,"",((D10*1)+(E10*2)+(F10*3)+(G10*4)+(H10*5))/C10)</f>
        <v>3.25</v>
      </c>
      <c r="J10" s="16"/>
      <c r="K10" s="13"/>
    </row>
    <row r="11" spans="1:11">
      <c r="A11" s="9" t="s">
        <v>44</v>
      </c>
      <c r="B11" s="13">
        <f>COUNTA(Table_values[Company Name])</f>
        <v>12</v>
      </c>
      <c r="C11" s="16">
        <f>COUNTA(Table_values[Web Usability])</f>
        <v>12</v>
      </c>
      <c r="D11" s="16">
        <f>COUNTIF(Table_values[Web Usability],1)</f>
        <v>3</v>
      </c>
      <c r="E11" s="16">
        <f>COUNTIF(Table_values[Web Usability],2)</f>
        <v>1</v>
      </c>
      <c r="F11" s="16">
        <f>COUNTIF(Table_values[Web Usability],3)</f>
        <v>3</v>
      </c>
      <c r="G11" s="16">
        <f>COUNTIF(Table_values[Web Usability],4)</f>
        <v>3</v>
      </c>
      <c r="H11" s="16">
        <f>COUNTIF(Table_values[Web Usability],5)</f>
        <v>2</v>
      </c>
      <c r="I11" s="42">
        <f t="shared" si="0"/>
        <v>3</v>
      </c>
      <c r="J11" s="16"/>
      <c r="K11" s="13"/>
    </row>
    <row r="12" spans="1:11">
      <c r="A12" s="9" t="s">
        <v>4</v>
      </c>
      <c r="B12" s="13">
        <f>COUNTA(Table_values[Company Name])</f>
        <v>12</v>
      </c>
      <c r="C12" s="16">
        <f>COUNTA(Table_values[More Work])</f>
        <v>12</v>
      </c>
      <c r="D12" s="16">
        <f>COUNTIF(Table_values[More Work],1)</f>
        <v>1</v>
      </c>
      <c r="E12" s="16">
        <f>COUNTIF(Table_values[More Work],2)</f>
        <v>4</v>
      </c>
      <c r="F12" s="16">
        <f>COUNTIF(Table_values[More Work],3)</f>
        <v>2</v>
      </c>
      <c r="G12" s="16">
        <f>COUNTIF(Table_values[More Work],4)</f>
        <v>4</v>
      </c>
      <c r="H12" s="16">
        <f>COUNTIF(Table_values[More Work],5)</f>
        <v>1</v>
      </c>
      <c r="I12" s="42">
        <f t="shared" si="0"/>
        <v>3</v>
      </c>
      <c r="J12" s="16"/>
      <c r="K12" s="13"/>
    </row>
    <row r="13" spans="1:11">
      <c r="A13" s="9" t="s">
        <v>46</v>
      </c>
      <c r="B13" s="13">
        <f>COUNTA(Table_values[Company Name])</f>
        <v>12</v>
      </c>
      <c r="C13" s="16">
        <f>COUNTA(Table_values[Quality of Service])</f>
        <v>12</v>
      </c>
      <c r="D13" s="16">
        <f>COUNTIF(Table_values[Quality of Service],1)</f>
        <v>1</v>
      </c>
      <c r="E13" s="16">
        <f>COUNTIF(Table_values[Quality of Service],2)</f>
        <v>3</v>
      </c>
      <c r="F13" s="16">
        <f>COUNTIF(Table_values[Quality of Service],3)</f>
        <v>3</v>
      </c>
      <c r="G13" s="16">
        <f>COUNTIF(Table_values[Quality of Service],4)</f>
        <v>3</v>
      </c>
      <c r="H13" s="16">
        <f>COUNTIF(Table_values[Quality of Service],5)</f>
        <v>2</v>
      </c>
      <c r="I13" s="42">
        <f t="shared" si="0"/>
        <v>3.1666666666666665</v>
      </c>
      <c r="J13" s="16"/>
      <c r="K13" s="13"/>
    </row>
    <row r="14" spans="1:11">
      <c r="A14" s="9" t="s">
        <v>45</v>
      </c>
      <c r="B14" s="13">
        <f>COUNTA(Table_values[Company Name])</f>
        <v>12</v>
      </c>
      <c r="C14" s="16">
        <f>COUNTA(Table_values[Quality of Product])</f>
        <v>12</v>
      </c>
      <c r="D14" s="16">
        <f>COUNTIF(Table_values[Quality of Product],1)</f>
        <v>1</v>
      </c>
      <c r="E14" s="16">
        <f>COUNTIF(Table_values[Quality of Product],2)</f>
        <v>1</v>
      </c>
      <c r="F14" s="16">
        <f>COUNTIF(Table_values[Quality of Product],3)</f>
        <v>5</v>
      </c>
      <c r="G14" s="16">
        <f>COUNTIF(Table_values[Quality of Product],4)</f>
        <v>2</v>
      </c>
      <c r="H14" s="16">
        <f>COUNTIF(Table_values[Quality of Product],5)</f>
        <v>3</v>
      </c>
      <c r="I14" s="42">
        <f t="shared" si="0"/>
        <v>3.4166666666666665</v>
      </c>
      <c r="J14" s="16"/>
      <c r="K14" s="13"/>
    </row>
    <row r="15" spans="1:11">
      <c r="A15" s="9" t="s">
        <v>5</v>
      </c>
      <c r="B15" s="13">
        <f>COUNTA(Table_values[Company Name])</f>
        <v>12</v>
      </c>
      <c r="C15" s="16">
        <f>COUNTA(Table_values[Sales Customer Service])</f>
        <v>12</v>
      </c>
      <c r="D15" s="16">
        <f>COUNTIF(Table_values[Sales Customer Service],1)</f>
        <v>3</v>
      </c>
      <c r="E15" s="16">
        <f>COUNTIF(Table_values[Sales Customer Service],2)</f>
        <v>0</v>
      </c>
      <c r="F15" s="16">
        <f>COUNTIF(Table_values[Sales Customer Service],3)</f>
        <v>2</v>
      </c>
      <c r="G15" s="16">
        <f>COUNTIF(Table_values[Sales Customer Service],4)</f>
        <v>4</v>
      </c>
      <c r="H15" s="16">
        <f>COUNTIF(Table_values[Sales Customer Service],5)</f>
        <v>3</v>
      </c>
      <c r="I15" s="42">
        <f t="shared" si="0"/>
        <v>3.3333333333333335</v>
      </c>
      <c r="J15" s="16"/>
      <c r="K15" s="13"/>
    </row>
    <row r="16" spans="1:11">
      <c r="A16" s="9" t="s">
        <v>6</v>
      </c>
      <c r="B16" s="13">
        <f>COUNTA(Table_values[Company Name])</f>
        <v>12</v>
      </c>
      <c r="C16" s="16">
        <f>COUNTA(Table_values[Sales Effectiveness])</f>
        <v>12</v>
      </c>
      <c r="D16" s="16">
        <f>COUNTIF(Table_values[Sales Effectiveness],1)</f>
        <v>1</v>
      </c>
      <c r="E16" s="16">
        <f>COUNTIF(Table_values[Sales Effectiveness],2)</f>
        <v>2</v>
      </c>
      <c r="F16" s="16">
        <f>COUNTIF(Table_values[Sales Effectiveness],3)</f>
        <v>4</v>
      </c>
      <c r="G16" s="16">
        <f>COUNTIF(Table_values[Sales Effectiveness],4)</f>
        <v>3</v>
      </c>
      <c r="H16" s="16">
        <f>COUNTIF(Table_values[Sales Effectiveness],5)</f>
        <v>2</v>
      </c>
      <c r="I16" s="42">
        <f t="shared" si="0"/>
        <v>3.25</v>
      </c>
      <c r="J16" s="16"/>
      <c r="K16" s="13"/>
    </row>
    <row r="17" spans="1:11">
      <c r="A17" s="9" t="s">
        <v>7</v>
      </c>
      <c r="B17" s="13">
        <f>COUNTA(Table_values[Company Name])</f>
        <v>12</v>
      </c>
      <c r="C17" s="16">
        <f>COUNTA(Table_values[Reliability])</f>
        <v>12</v>
      </c>
      <c r="D17" s="16">
        <f>COUNTIF(Table_values[Reliability],1)</f>
        <v>1</v>
      </c>
      <c r="E17" s="16">
        <f>COUNTIF(Table_values[Reliability],2)</f>
        <v>4</v>
      </c>
      <c r="F17" s="16">
        <f>COUNTIF(Table_values[Reliability],3)</f>
        <v>2</v>
      </c>
      <c r="G17" s="16">
        <f>COUNTIF(Table_values[Reliability],4)</f>
        <v>3</v>
      </c>
      <c r="H17" s="16">
        <f>COUNTIF(Table_values[Reliability],5)</f>
        <v>2</v>
      </c>
      <c r="I17" s="42">
        <f t="shared" si="0"/>
        <v>3.0833333333333335</v>
      </c>
      <c r="J17" s="16"/>
      <c r="K17" s="13"/>
    </row>
    <row r="18" spans="1:11" ht="15.75" thickBot="1">
      <c r="A18" s="12"/>
      <c r="B18" s="12"/>
      <c r="C18" s="17"/>
      <c r="D18" s="17"/>
      <c r="E18" s="17"/>
      <c r="F18" s="17"/>
      <c r="G18" s="17"/>
      <c r="H18" s="17"/>
      <c r="I18" s="17"/>
      <c r="J18" s="17"/>
      <c r="K18" s="12"/>
    </row>
    <row r="19" spans="1:11" ht="15.75" thickTop="1"/>
  </sheetData>
  <sheetProtection selectLockedCells="1"/>
  <pageMargins left="0.7" right="0.7" top="0.75" bottom="0.75" header="0.3" footer="0.3"/>
  <pageSetup orientation="portrait" r:id="rId1"/>
  <headerFooter>
    <oddFooter>&amp;L&amp;9Page &amp;P     CONFINDENTIAL | Business Performance &amp;R&amp;9&amp;D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A5D3D2"/>
  </sheetPr>
  <dimension ref="A1:D15"/>
  <sheetViews>
    <sheetView showGridLines="0" workbookViewId="0"/>
  </sheetViews>
  <sheetFormatPr defaultRowHeight="15"/>
  <cols>
    <col min="1" max="1" width="38.5703125" customWidth="1"/>
    <col min="2" max="4" width="15.7109375" customWidth="1"/>
  </cols>
  <sheetData>
    <row r="1" spans="1:4">
      <c r="A1" s="80" t="str">
        <f>'Customer Satisfaction'!A1</f>
        <v>[Company Name]</v>
      </c>
    </row>
    <row r="2" spans="1:4">
      <c r="A2" s="7" t="s">
        <v>98</v>
      </c>
    </row>
    <row r="3" spans="1:4">
      <c r="A3" s="7" t="s">
        <v>99</v>
      </c>
    </row>
    <row r="4" spans="1:4" ht="42" customHeight="1">
      <c r="A4" s="8" t="s">
        <v>47</v>
      </c>
      <c r="B4" s="5"/>
    </row>
    <row r="5" spans="1:4" ht="13.5" customHeight="1">
      <c r="A5" s="67"/>
      <c r="B5" s="67"/>
      <c r="C5" s="67"/>
      <c r="D5" s="67"/>
    </row>
    <row r="6" spans="1:4" ht="15" customHeight="1" thickBot="1"/>
    <row r="7" spans="1:4" ht="15.75" customHeight="1">
      <c r="A7" s="69" t="s">
        <v>29</v>
      </c>
      <c r="B7" s="70" t="s">
        <v>48</v>
      </c>
      <c r="C7" s="70" t="s">
        <v>49</v>
      </c>
      <c r="D7" s="70" t="s">
        <v>50</v>
      </c>
    </row>
    <row r="8" spans="1:4">
      <c r="A8" s="9" t="s">
        <v>25</v>
      </c>
      <c r="B8" s="46">
        <v>124</v>
      </c>
      <c r="C8" s="46">
        <v>980</v>
      </c>
      <c r="D8" s="45">
        <v>1104</v>
      </c>
    </row>
    <row r="9" spans="1:4">
      <c r="A9" s="9" t="s">
        <v>51</v>
      </c>
      <c r="B9" s="46">
        <v>3</v>
      </c>
      <c r="C9" s="46">
        <v>4</v>
      </c>
      <c r="D9" s="44">
        <v>2</v>
      </c>
    </row>
    <row r="10" spans="1:4" ht="15.75" thickBot="1">
      <c r="A10" s="9" t="s">
        <v>52</v>
      </c>
      <c r="B10" s="46">
        <v>10</v>
      </c>
      <c r="C10" s="46">
        <v>15</v>
      </c>
      <c r="D10" s="44">
        <v>11.2</v>
      </c>
    </row>
    <row r="11" spans="1:4" ht="15.75" customHeight="1">
      <c r="A11" s="85" t="s">
        <v>27</v>
      </c>
      <c r="B11" s="85"/>
      <c r="C11" s="85"/>
      <c r="D11" s="85"/>
    </row>
    <row r="12" spans="1:4">
      <c r="A12" s="9" t="s">
        <v>53</v>
      </c>
      <c r="B12" s="46">
        <v>32</v>
      </c>
      <c r="C12" s="47">
        <v>112</v>
      </c>
      <c r="D12" s="23">
        <v>143</v>
      </c>
    </row>
    <row r="13" spans="1:4">
      <c r="A13" s="9" t="s">
        <v>54</v>
      </c>
      <c r="B13" s="46">
        <v>13</v>
      </c>
      <c r="C13" s="47">
        <v>16</v>
      </c>
      <c r="D13" s="23">
        <v>23</v>
      </c>
    </row>
    <row r="14" spans="1:4" ht="15.75" thickBot="1">
      <c r="A14" s="24"/>
      <c r="B14" s="48"/>
      <c r="C14" s="48"/>
      <c r="D14" s="26"/>
    </row>
    <row r="15" spans="1:4" ht="15.75" thickTop="1"/>
  </sheetData>
  <mergeCells count="2">
    <mergeCell ref="A11:B11"/>
    <mergeCell ref="C11:D11"/>
  </mergeCells>
  <pageMargins left="0.7" right="0.7" top="0.75" bottom="0.75" header="0.3" footer="0.3"/>
  <pageSetup orientation="portrait" r:id="rId1"/>
  <headerFooter>
    <oddFooter>&amp;L&amp;9Page &amp;P      CONFINDENTIAL | Business Performance &amp;R&amp;9&amp;D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2" tint="-0.499984740745262"/>
  </sheetPr>
  <dimension ref="A1:M26"/>
  <sheetViews>
    <sheetView showGridLines="0" workbookViewId="0"/>
  </sheetViews>
  <sheetFormatPr defaultRowHeight="15"/>
  <cols>
    <col min="1" max="1" width="36.5703125" customWidth="1"/>
    <col min="2" max="13" width="11.28515625" customWidth="1"/>
  </cols>
  <sheetData>
    <row r="1" spans="1:13">
      <c r="A1" s="80" t="str">
        <f>'Customer Satisfaction'!A1</f>
        <v>[Company Name]</v>
      </c>
    </row>
    <row r="2" spans="1:13">
      <c r="A2" s="7" t="s">
        <v>95</v>
      </c>
    </row>
    <row r="3" spans="1:13">
      <c r="A3" s="7" t="s">
        <v>99</v>
      </c>
    </row>
    <row r="5" spans="1:13" ht="42" customHeight="1">
      <c r="A5" s="8" t="s">
        <v>92</v>
      </c>
    </row>
    <row r="6" spans="1:13" ht="13.5" customHeight="1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</row>
    <row r="7" spans="1:13" s="6" customFormat="1" ht="28.7" customHeight="1" thickBot="1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1:13">
      <c r="A8" s="71" t="s">
        <v>55</v>
      </c>
      <c r="B8" s="72" t="s">
        <v>56</v>
      </c>
      <c r="C8" s="72" t="s">
        <v>57</v>
      </c>
      <c r="D8" s="72" t="s">
        <v>58</v>
      </c>
      <c r="E8" s="72" t="s">
        <v>59</v>
      </c>
      <c r="F8" s="72" t="s">
        <v>60</v>
      </c>
      <c r="G8" s="72" t="s">
        <v>61</v>
      </c>
      <c r="H8" s="72" t="s">
        <v>62</v>
      </c>
      <c r="I8" s="72" t="s">
        <v>63</v>
      </c>
      <c r="J8" s="72" t="s">
        <v>64</v>
      </c>
      <c r="K8" s="72" t="s">
        <v>65</v>
      </c>
      <c r="L8" s="72" t="s">
        <v>66</v>
      </c>
      <c r="M8" s="72" t="s">
        <v>67</v>
      </c>
    </row>
    <row r="9" spans="1:13">
      <c r="A9" s="9" t="s">
        <v>68</v>
      </c>
      <c r="B9" s="57">
        <v>3</v>
      </c>
      <c r="C9" s="57">
        <v>4</v>
      </c>
      <c r="D9" s="57">
        <v>2</v>
      </c>
      <c r="E9" s="57">
        <v>5</v>
      </c>
      <c r="F9" s="57">
        <v>1</v>
      </c>
      <c r="G9" s="57">
        <v>6</v>
      </c>
      <c r="H9" s="57">
        <v>3</v>
      </c>
      <c r="I9" s="57">
        <v>4</v>
      </c>
      <c r="J9" s="57">
        <v>2</v>
      </c>
      <c r="K9" s="57">
        <v>5</v>
      </c>
      <c r="L9" s="57">
        <v>6</v>
      </c>
      <c r="M9" s="58">
        <v>1</v>
      </c>
    </row>
    <row r="10" spans="1:13">
      <c r="A10" s="9" t="s">
        <v>69</v>
      </c>
      <c r="B10" s="59">
        <v>5840</v>
      </c>
      <c r="C10" s="59">
        <v>6250</v>
      </c>
      <c r="D10" s="59">
        <v>6100</v>
      </c>
      <c r="E10" s="59">
        <v>5960</v>
      </c>
      <c r="F10" s="59">
        <v>4800</v>
      </c>
      <c r="G10" s="59">
        <v>6200</v>
      </c>
      <c r="H10" s="59">
        <v>5589.33</v>
      </c>
      <c r="I10" s="59">
        <v>5512.48</v>
      </c>
      <c r="J10" s="59">
        <v>5435.62</v>
      </c>
      <c r="K10" s="59">
        <v>5358.76</v>
      </c>
      <c r="L10" s="59">
        <v>5281.9</v>
      </c>
      <c r="M10" s="60">
        <v>5205.05</v>
      </c>
    </row>
    <row r="11" spans="1:13">
      <c r="A11" s="9" t="s">
        <v>70</v>
      </c>
      <c r="B11" s="57">
        <v>42</v>
      </c>
      <c r="C11" s="57">
        <v>31</v>
      </c>
      <c r="D11" s="57">
        <v>28</v>
      </c>
      <c r="E11" s="57">
        <v>32</v>
      </c>
      <c r="F11" s="57">
        <v>35</v>
      </c>
      <c r="G11" s="57">
        <v>36</v>
      </c>
      <c r="H11" s="57">
        <v>32</v>
      </c>
      <c r="I11" s="57">
        <v>40</v>
      </c>
      <c r="J11" s="57">
        <v>25</v>
      </c>
      <c r="K11" s="57">
        <v>26</v>
      </c>
      <c r="L11" s="57">
        <v>36</v>
      </c>
      <c r="M11" s="58">
        <v>46</v>
      </c>
    </row>
    <row r="12" spans="1:13" ht="15.75" thickBot="1">
      <c r="A12" s="12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2"/>
    </row>
    <row r="13" spans="1:13" ht="15.75" thickTop="1"/>
    <row r="14" spans="1:13" ht="15.75" thickBot="1"/>
    <row r="15" spans="1:13">
      <c r="A15" s="71" t="s">
        <v>71</v>
      </c>
      <c r="B15" s="71"/>
    </row>
    <row r="16" spans="1:13">
      <c r="A16" s="9" t="s">
        <v>72</v>
      </c>
      <c r="B16" s="63" t="s">
        <v>96</v>
      </c>
    </row>
    <row r="17" spans="1:2">
      <c r="A17" s="9" t="s">
        <v>73</v>
      </c>
      <c r="B17" s="63" t="s">
        <v>77</v>
      </c>
    </row>
    <row r="18" spans="1:2">
      <c r="A18" s="9" t="s">
        <v>101</v>
      </c>
      <c r="B18" s="64" t="s">
        <v>91</v>
      </c>
    </row>
    <row r="19" spans="1:2">
      <c r="A19" s="9" t="s">
        <v>74</v>
      </c>
      <c r="B19" s="63" t="s">
        <v>97</v>
      </c>
    </row>
    <row r="20" spans="1:2" ht="15.75" thickBot="1">
      <c r="A20" s="12"/>
      <c r="B20" s="65"/>
    </row>
    <row r="21" spans="1:2" ht="16.5" thickTop="1" thickBot="1"/>
    <row r="22" spans="1:2">
      <c r="A22" s="71" t="s">
        <v>75</v>
      </c>
      <c r="B22" s="71"/>
    </row>
    <row r="23" spans="1:2">
      <c r="A23" s="9" t="s">
        <v>23</v>
      </c>
      <c r="B23" s="63">
        <v>15</v>
      </c>
    </row>
    <row r="24" spans="1:2">
      <c r="A24" s="9" t="s">
        <v>76</v>
      </c>
      <c r="B24" s="66">
        <v>43</v>
      </c>
    </row>
    <row r="25" spans="1:2" ht="15.75" thickBot="1">
      <c r="A25" s="12"/>
      <c r="B25" s="65"/>
    </row>
    <row r="26" spans="1:2" ht="15.75" thickTop="1"/>
  </sheetData>
  <pageMargins left="0.7" right="0.7" top="0.75" bottom="0.75" header="0.3" footer="0.3"/>
  <pageSetup orientation="portrait" r:id="rId1"/>
  <headerFooter>
    <oddFooter>&amp;L&amp;9Page &amp;P     CONFINDENTIAL | Business Performance &amp;R&amp;9&amp;D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4"/>
  </sheetPr>
  <dimension ref="A1:G15"/>
  <sheetViews>
    <sheetView showGridLines="0" workbookViewId="0"/>
  </sheetViews>
  <sheetFormatPr defaultRowHeight="15"/>
  <cols>
    <col min="1" max="1" width="32.85546875" customWidth="1"/>
    <col min="2" max="7" width="17.140625" customWidth="1"/>
  </cols>
  <sheetData>
    <row r="1" spans="1:7">
      <c r="A1" s="80" t="str">
        <f>'Customer Satisfaction'!A1</f>
        <v>[Company Name]</v>
      </c>
    </row>
    <row r="2" spans="1:7">
      <c r="A2" s="7" t="s">
        <v>94</v>
      </c>
    </row>
    <row r="3" spans="1:7">
      <c r="A3" s="7" t="s">
        <v>99</v>
      </c>
    </row>
    <row r="5" spans="1:7" ht="23.25">
      <c r="A5" s="8" t="s">
        <v>24</v>
      </c>
    </row>
    <row r="6" spans="1:7" ht="13.5" customHeight="1">
      <c r="A6" s="67"/>
      <c r="B6" s="67"/>
      <c r="C6" s="67"/>
      <c r="D6" s="67"/>
      <c r="E6" s="67"/>
      <c r="F6" s="67"/>
      <c r="G6" s="67"/>
    </row>
    <row r="7" spans="1:7" ht="28.7" customHeight="1">
      <c r="A7" s="8"/>
    </row>
    <row r="8" spans="1:7" ht="15.75" thickBot="1">
      <c r="A8" s="10"/>
      <c r="B8" s="10" t="s">
        <v>82</v>
      </c>
      <c r="C8" s="10"/>
      <c r="D8" s="10" t="s">
        <v>83</v>
      </c>
      <c r="E8" s="10"/>
      <c r="F8" s="10" t="s">
        <v>84</v>
      </c>
      <c r="G8" s="10"/>
    </row>
    <row r="9" spans="1:7">
      <c r="A9" s="68"/>
      <c r="B9" s="68" t="s">
        <v>78</v>
      </c>
      <c r="C9" s="68" t="s">
        <v>79</v>
      </c>
      <c r="D9" s="68" t="s">
        <v>78</v>
      </c>
      <c r="E9" s="68" t="s">
        <v>79</v>
      </c>
      <c r="F9" s="68" t="s">
        <v>78</v>
      </c>
      <c r="G9" s="68" t="s">
        <v>79</v>
      </c>
    </row>
    <row r="10" spans="1:7">
      <c r="A10" s="10" t="s">
        <v>26</v>
      </c>
      <c r="B10" s="20">
        <v>256000</v>
      </c>
      <c r="C10" s="49">
        <v>9.8000000000000004E-2</v>
      </c>
      <c r="D10" s="50">
        <v>652000</v>
      </c>
      <c r="E10" s="49">
        <v>0.123</v>
      </c>
      <c r="F10" s="50">
        <v>1001000</v>
      </c>
      <c r="G10" s="19">
        <v>0.1011</v>
      </c>
    </row>
    <row r="11" spans="1:7">
      <c r="A11" s="10" t="s">
        <v>28</v>
      </c>
      <c r="B11" s="20">
        <v>2356000</v>
      </c>
      <c r="C11" s="49">
        <v>0.13</v>
      </c>
      <c r="D11" s="50">
        <v>5563000</v>
      </c>
      <c r="E11" s="49">
        <v>0.11</v>
      </c>
      <c r="F11" s="50">
        <v>11050000</v>
      </c>
      <c r="G11" s="19">
        <v>0.109</v>
      </c>
    </row>
    <row r="12" spans="1:7">
      <c r="A12" s="10" t="s">
        <v>80</v>
      </c>
      <c r="B12" s="20">
        <v>2500</v>
      </c>
      <c r="C12" s="49">
        <v>0.06</v>
      </c>
      <c r="D12" s="50">
        <v>2700</v>
      </c>
      <c r="E12" s="49">
        <v>7.1999999999999995E-2</v>
      </c>
      <c r="F12" s="50">
        <v>2650</v>
      </c>
      <c r="G12" s="19">
        <v>6.6000000000000003E-2</v>
      </c>
    </row>
    <row r="13" spans="1:7">
      <c r="A13" s="11" t="s">
        <v>81</v>
      </c>
      <c r="B13" s="21">
        <v>36000</v>
      </c>
      <c r="C13" s="49">
        <v>6.0000000000000001E-3</v>
      </c>
      <c r="D13" s="51">
        <v>-45000</v>
      </c>
      <c r="E13" s="52">
        <v>8.0000000000000002E-3</v>
      </c>
      <c r="F13" s="51">
        <v>-26000</v>
      </c>
      <c r="G13" s="19">
        <v>2E-3</v>
      </c>
    </row>
    <row r="14" spans="1:7" ht="15.75" thickBot="1">
      <c r="A14" s="24"/>
      <c r="B14" s="53"/>
      <c r="C14" s="54"/>
      <c r="D14" s="55"/>
      <c r="E14" s="56"/>
      <c r="F14" s="55"/>
      <c r="G14" s="24"/>
    </row>
    <row r="15" spans="1:7" ht="15.75" thickTop="1"/>
  </sheetData>
  <pageMargins left="0.7" right="0.7" top="0.75" bottom="0.75" header="0.3" footer="0.3"/>
  <pageSetup orientation="portrait" r:id="rId1"/>
  <headerFooter>
    <oddFooter>&amp;L&amp;9Page &amp;P     CONFINDENTIAL | Business Performance &amp;R&amp;9&amp;D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N13"/>
  <sheetViews>
    <sheetView showGridLines="0" workbookViewId="0"/>
  </sheetViews>
  <sheetFormatPr defaultRowHeight="15"/>
  <cols>
    <col min="1" max="1" width="17.42578125" bestFit="1" customWidth="1"/>
    <col min="2" max="2" width="23.85546875" bestFit="1" customWidth="1"/>
    <col min="3" max="3" width="19.140625" bestFit="1" customWidth="1"/>
    <col min="4" max="4" width="18.85546875" bestFit="1" customWidth="1"/>
    <col min="5" max="5" width="27.85546875" bestFit="1" customWidth="1"/>
    <col min="6" max="6" width="16" bestFit="1" customWidth="1"/>
    <col min="7" max="7" width="19.5703125" bestFit="1" customWidth="1"/>
    <col min="8" max="8" width="19" bestFit="1" customWidth="1"/>
    <col min="9" max="9" width="12.28515625" bestFit="1" customWidth="1"/>
    <col min="10" max="10" width="24.140625" bestFit="1" customWidth="1"/>
    <col min="11" max="11" width="20.42578125" bestFit="1" customWidth="1"/>
    <col min="12" max="12" width="13.42578125" bestFit="1" customWidth="1"/>
    <col min="13" max="13" width="12.140625" bestFit="1" customWidth="1"/>
    <col min="14" max="14" width="49.7109375" bestFit="1" customWidth="1"/>
  </cols>
  <sheetData>
    <row r="1" spans="1:14">
      <c r="A1" t="s">
        <v>102</v>
      </c>
      <c r="B1" t="s">
        <v>3</v>
      </c>
      <c r="C1" t="s">
        <v>0</v>
      </c>
      <c r="D1" t="s">
        <v>1</v>
      </c>
      <c r="E1" t="s">
        <v>2</v>
      </c>
      <c r="F1" t="s">
        <v>103</v>
      </c>
      <c r="G1" t="s">
        <v>104</v>
      </c>
      <c r="H1" t="s">
        <v>105</v>
      </c>
      <c r="I1" t="s">
        <v>7</v>
      </c>
      <c r="J1" t="s">
        <v>5</v>
      </c>
      <c r="K1" t="s">
        <v>6</v>
      </c>
      <c r="L1" t="s">
        <v>4</v>
      </c>
      <c r="M1" t="s">
        <v>106</v>
      </c>
      <c r="N1" t="s">
        <v>107</v>
      </c>
    </row>
    <row r="2" spans="1:14">
      <c r="A2" s="76" t="s">
        <v>115</v>
      </c>
      <c r="B2" s="76" t="s">
        <v>110</v>
      </c>
      <c r="C2" s="76" t="s">
        <v>111</v>
      </c>
      <c r="D2" s="76" t="s">
        <v>110</v>
      </c>
      <c r="E2" s="76" t="s">
        <v>110</v>
      </c>
      <c r="F2" s="76" t="s">
        <v>110</v>
      </c>
      <c r="G2" s="76" t="s">
        <v>110</v>
      </c>
      <c r="H2" s="76" t="s">
        <v>110</v>
      </c>
      <c r="I2" s="76" t="s">
        <v>110</v>
      </c>
      <c r="J2" s="76" t="s">
        <v>110</v>
      </c>
      <c r="K2" s="76" t="s">
        <v>110</v>
      </c>
      <c r="L2" s="76" t="s">
        <v>112</v>
      </c>
      <c r="M2" s="76" t="s">
        <v>108</v>
      </c>
      <c r="N2" s="76" t="s">
        <v>109</v>
      </c>
    </row>
    <row r="3" spans="1:14">
      <c r="A3" s="76" t="s">
        <v>116</v>
      </c>
      <c r="B3" s="76" t="s">
        <v>113</v>
      </c>
      <c r="C3" s="76" t="s">
        <v>114</v>
      </c>
      <c r="D3" s="76" t="s">
        <v>113</v>
      </c>
      <c r="E3" s="76" t="s">
        <v>112</v>
      </c>
      <c r="F3" s="76" t="s">
        <v>112</v>
      </c>
      <c r="G3" s="76" t="s">
        <v>110</v>
      </c>
      <c r="H3" s="76" t="s">
        <v>112</v>
      </c>
      <c r="I3" s="76" t="s">
        <v>113</v>
      </c>
      <c r="J3" s="76" t="s">
        <v>110</v>
      </c>
      <c r="K3" s="76" t="s">
        <v>112</v>
      </c>
      <c r="L3" s="76" t="s">
        <v>112</v>
      </c>
      <c r="M3" s="76" t="s">
        <v>108</v>
      </c>
      <c r="N3" s="76" t="s">
        <v>109</v>
      </c>
    </row>
    <row r="4" spans="1:14">
      <c r="A4" s="76" t="s">
        <v>117</v>
      </c>
      <c r="B4" s="76" t="s">
        <v>111</v>
      </c>
      <c r="C4" s="76" t="s">
        <v>114</v>
      </c>
      <c r="D4" s="76" t="s">
        <v>114</v>
      </c>
      <c r="E4" s="76" t="s">
        <v>111</v>
      </c>
      <c r="F4" s="76" t="s">
        <v>114</v>
      </c>
      <c r="G4" s="76" t="s">
        <v>113</v>
      </c>
      <c r="H4" s="76" t="s">
        <v>114</v>
      </c>
      <c r="I4" s="76" t="s">
        <v>114</v>
      </c>
      <c r="J4" s="76" t="s">
        <v>112</v>
      </c>
      <c r="K4" s="76" t="s">
        <v>113</v>
      </c>
      <c r="L4" s="76" t="s">
        <v>114</v>
      </c>
      <c r="M4" s="76" t="s">
        <v>108</v>
      </c>
      <c r="N4" s="76" t="s">
        <v>109</v>
      </c>
    </row>
    <row r="5" spans="1:14">
      <c r="A5" s="76" t="s">
        <v>118</v>
      </c>
      <c r="B5" s="76" t="s">
        <v>113</v>
      </c>
      <c r="C5" s="76" t="s">
        <v>111</v>
      </c>
      <c r="D5" s="76" t="s">
        <v>112</v>
      </c>
      <c r="E5" s="76" t="s">
        <v>112</v>
      </c>
      <c r="F5" s="76" t="s">
        <v>112</v>
      </c>
      <c r="G5" s="76" t="s">
        <v>113</v>
      </c>
      <c r="H5" s="76" t="s">
        <v>112</v>
      </c>
      <c r="I5" s="76" t="s">
        <v>112</v>
      </c>
      <c r="J5" s="76" t="s">
        <v>113</v>
      </c>
      <c r="K5" s="76" t="s">
        <v>113</v>
      </c>
      <c r="L5" s="76" t="s">
        <v>113</v>
      </c>
      <c r="M5" s="76" t="s">
        <v>108</v>
      </c>
      <c r="N5" s="76" t="s">
        <v>109</v>
      </c>
    </row>
    <row r="6" spans="1:14">
      <c r="A6" s="76" t="s">
        <v>119</v>
      </c>
      <c r="B6" s="76" t="s">
        <v>114</v>
      </c>
      <c r="C6" s="76" t="s">
        <v>114</v>
      </c>
      <c r="D6" s="76" t="s">
        <v>114</v>
      </c>
      <c r="E6" s="76" t="s">
        <v>113</v>
      </c>
      <c r="F6" s="76" t="s">
        <v>111</v>
      </c>
      <c r="G6" s="76" t="s">
        <v>113</v>
      </c>
      <c r="H6" s="76" t="s">
        <v>114</v>
      </c>
      <c r="I6" s="76" t="s">
        <v>114</v>
      </c>
      <c r="J6" s="76" t="s">
        <v>111</v>
      </c>
      <c r="K6" s="76" t="s">
        <v>114</v>
      </c>
      <c r="L6" s="76" t="s">
        <v>114</v>
      </c>
      <c r="M6" s="76" t="s">
        <v>108</v>
      </c>
      <c r="N6" s="76" t="s">
        <v>109</v>
      </c>
    </row>
    <row r="7" spans="1:14">
      <c r="A7" s="76" t="s">
        <v>120</v>
      </c>
      <c r="B7" s="76" t="s">
        <v>113</v>
      </c>
      <c r="C7" s="76" t="s">
        <v>111</v>
      </c>
      <c r="D7" s="76" t="s">
        <v>112</v>
      </c>
      <c r="E7" s="76" t="s">
        <v>112</v>
      </c>
      <c r="F7" s="76" t="s">
        <v>113</v>
      </c>
      <c r="G7" s="76" t="s">
        <v>112</v>
      </c>
      <c r="H7" s="76" t="s">
        <v>113</v>
      </c>
      <c r="I7" s="76" t="s">
        <v>112</v>
      </c>
      <c r="J7" s="76" t="s">
        <v>112</v>
      </c>
      <c r="K7" s="76" t="s">
        <v>112</v>
      </c>
      <c r="L7" s="76" t="s">
        <v>112</v>
      </c>
      <c r="M7" s="76" t="s">
        <v>108</v>
      </c>
      <c r="N7" s="76" t="s">
        <v>109</v>
      </c>
    </row>
    <row r="8" spans="1:14">
      <c r="A8" s="76" t="s">
        <v>121</v>
      </c>
      <c r="B8" s="76" t="s">
        <v>113</v>
      </c>
      <c r="C8" s="76" t="s">
        <v>111</v>
      </c>
      <c r="D8" s="76" t="s">
        <v>112</v>
      </c>
      <c r="E8" s="76" t="s">
        <v>112</v>
      </c>
      <c r="F8" s="76" t="s">
        <v>113</v>
      </c>
      <c r="G8" s="76" t="s">
        <v>112</v>
      </c>
      <c r="H8" s="76" t="s">
        <v>113</v>
      </c>
      <c r="I8" s="76" t="s">
        <v>112</v>
      </c>
      <c r="J8" s="76" t="s">
        <v>112</v>
      </c>
      <c r="K8" s="76" t="s">
        <v>112</v>
      </c>
      <c r="L8" s="76" t="s">
        <v>112</v>
      </c>
      <c r="M8" s="76" t="s">
        <v>108</v>
      </c>
      <c r="N8" s="76" t="s">
        <v>109</v>
      </c>
    </row>
    <row r="9" spans="1:14">
      <c r="A9" s="76" t="s">
        <v>122</v>
      </c>
      <c r="B9" s="76" t="s">
        <v>114</v>
      </c>
      <c r="C9" s="76" t="s">
        <v>114</v>
      </c>
      <c r="D9" s="76" t="s">
        <v>114</v>
      </c>
      <c r="E9" s="76" t="s">
        <v>113</v>
      </c>
      <c r="F9" s="76" t="s">
        <v>111</v>
      </c>
      <c r="G9" s="76" t="s">
        <v>113</v>
      </c>
      <c r="H9" s="76" t="s">
        <v>114</v>
      </c>
      <c r="I9" s="76" t="s">
        <v>114</v>
      </c>
      <c r="J9" s="76" t="s">
        <v>111</v>
      </c>
      <c r="K9" s="76" t="s">
        <v>114</v>
      </c>
      <c r="L9" s="76" t="s">
        <v>114</v>
      </c>
      <c r="M9" s="76" t="s">
        <v>108</v>
      </c>
      <c r="N9" s="76" t="s">
        <v>109</v>
      </c>
    </row>
    <row r="10" spans="1:14">
      <c r="A10" s="76" t="s">
        <v>123</v>
      </c>
      <c r="B10" s="76" t="s">
        <v>111</v>
      </c>
      <c r="C10" s="76" t="s">
        <v>111</v>
      </c>
      <c r="D10" s="76" t="s">
        <v>111</v>
      </c>
      <c r="E10" s="76" t="s">
        <v>111</v>
      </c>
      <c r="F10" s="76" t="s">
        <v>111</v>
      </c>
      <c r="G10" s="76" t="s">
        <v>111</v>
      </c>
      <c r="H10" s="76" t="s">
        <v>111</v>
      </c>
      <c r="I10" s="76" t="s">
        <v>111</v>
      </c>
      <c r="J10" s="76" t="s">
        <v>111</v>
      </c>
      <c r="K10" s="76" t="s">
        <v>111</v>
      </c>
      <c r="L10" s="76" t="s">
        <v>111</v>
      </c>
      <c r="M10" s="76" t="s">
        <v>108</v>
      </c>
      <c r="N10" s="76" t="s">
        <v>109</v>
      </c>
    </row>
    <row r="11" spans="1:14">
      <c r="A11" s="76" t="s">
        <v>124</v>
      </c>
      <c r="B11" s="76" t="s">
        <v>110</v>
      </c>
      <c r="C11" s="76" t="s">
        <v>111</v>
      </c>
      <c r="D11" s="76" t="s">
        <v>110</v>
      </c>
      <c r="E11" s="76" t="s">
        <v>110</v>
      </c>
      <c r="F11" s="76" t="s">
        <v>110</v>
      </c>
      <c r="G11" s="76" t="s">
        <v>110</v>
      </c>
      <c r="H11" s="76" t="s">
        <v>110</v>
      </c>
      <c r="I11" s="76" t="s">
        <v>110</v>
      </c>
      <c r="J11" s="76" t="s">
        <v>110</v>
      </c>
      <c r="K11" s="76" t="s">
        <v>110</v>
      </c>
      <c r="L11" s="76" t="s">
        <v>110</v>
      </c>
      <c r="M11" s="76" t="s">
        <v>108</v>
      </c>
      <c r="N11" s="76" t="s">
        <v>109</v>
      </c>
    </row>
    <row r="12" spans="1:14">
      <c r="A12" s="76" t="s">
        <v>125</v>
      </c>
      <c r="B12" s="76" t="s">
        <v>113</v>
      </c>
      <c r="C12" s="76" t="s">
        <v>114</v>
      </c>
      <c r="D12" s="76" t="s">
        <v>114</v>
      </c>
      <c r="E12" s="76" t="s">
        <v>114</v>
      </c>
      <c r="F12" s="76" t="s">
        <v>112</v>
      </c>
      <c r="G12" s="76" t="s">
        <v>114</v>
      </c>
      <c r="H12" s="76" t="s">
        <v>112</v>
      </c>
      <c r="I12" s="76" t="s">
        <v>114</v>
      </c>
      <c r="J12" s="76" t="s">
        <v>112</v>
      </c>
      <c r="K12" s="76" t="s">
        <v>113</v>
      </c>
      <c r="L12" s="76" t="s">
        <v>114</v>
      </c>
      <c r="M12" s="76" t="s">
        <v>108</v>
      </c>
      <c r="N12" s="76" t="s">
        <v>109</v>
      </c>
    </row>
    <row r="13" spans="1:14">
      <c r="A13" s="76" t="s">
        <v>126</v>
      </c>
      <c r="B13" s="76" t="s">
        <v>111</v>
      </c>
      <c r="C13" s="76" t="s">
        <v>114</v>
      </c>
      <c r="D13" s="76" t="s">
        <v>111</v>
      </c>
      <c r="E13" s="76" t="s">
        <v>113</v>
      </c>
      <c r="F13" s="76" t="s">
        <v>113</v>
      </c>
      <c r="G13" s="76" t="s">
        <v>113</v>
      </c>
      <c r="H13" s="76" t="s">
        <v>113</v>
      </c>
      <c r="I13" s="76" t="s">
        <v>113</v>
      </c>
      <c r="J13" s="76" t="s">
        <v>113</v>
      </c>
      <c r="K13" s="76" t="s">
        <v>113</v>
      </c>
      <c r="L13" s="76" t="s">
        <v>113</v>
      </c>
      <c r="M13" s="76" t="s">
        <v>108</v>
      </c>
      <c r="N13" s="76" t="s">
        <v>109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Customer Satisfaction</vt:lpstr>
      <vt:lpstr>Operations</vt:lpstr>
      <vt:lpstr>Human Resources</vt:lpstr>
      <vt:lpstr>Financial Indicators</vt:lpstr>
      <vt:lpstr>Values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2006-11-10T23:44:49Z</dcterms:created>
  <dcterms:modified xsi:type="dcterms:W3CDTF">2006-11-10T23:45:01Z</dcterms:modified>
</cp:coreProperties>
</file>
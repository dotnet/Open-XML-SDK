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 codeName="ThisWorkbook"/>
  <bookViews>
    <workbookView xWindow="6270" yWindow="-15" windowWidth="6315" windowHeight="6750" tabRatio="862"/>
  </bookViews>
  <sheets>
    <sheet name="Premium" sheetId="1" r:id="rId1"/>
    <sheet name="Premium SWOT" sheetId="7" r:id="rId2"/>
    <sheet name="Market Share Analysis" sheetId="14" r:id="rId3"/>
    <sheet name="DELUXE SWOT" sheetId="23" r:id="rId4"/>
    <sheet name="BESPOKE SWOT" sheetId="24" r:id="rId5"/>
    <sheet name="Competitor Product3 SWOT" sheetId="25" r:id="rId6"/>
    <sheet name="Contoso SWOT" sheetId="16" r:id="rId7"/>
  </sheets>
  <definedNames>
    <definedName name="_xlnm.Print_Area" localSheetId="0">Premium!$A$2:$E$87</definedName>
    <definedName name="_xlnm.Print_Titles" localSheetId="0">Premium!$27:$27</definedName>
    <definedName name="_xlnm.Print_Titles" localSheetId="1">'Premium SWOT'!$5:$8</definedName>
  </definedNames>
  <calcPr calcId="124519"/>
  <webPublishing codePage="1252"/>
</workbook>
</file>

<file path=xl/calcChain.xml><?xml version="1.0" encoding="utf-8"?>
<calcChain xmlns="http://schemas.openxmlformats.org/spreadsheetml/2006/main">
  <c r="A2" i="7"/>
  <c r="B11" i="25"/>
  <c r="B96" i="1"/>
  <c r="A96"/>
  <c r="B10" i="16"/>
  <c r="A10"/>
  <c r="D55" i="1"/>
  <c r="C55"/>
  <c r="B55"/>
  <c r="A1" i="7" l="1"/>
  <c r="A1" i="16"/>
  <c r="A1" i="25"/>
  <c r="A1" i="24"/>
  <c r="A1" i="23"/>
  <c r="A9" i="25"/>
  <c r="A8"/>
  <c r="A8" i="16"/>
  <c r="E6" i="1"/>
  <c r="A8" i="23" l="1"/>
  <c r="B28" i="1"/>
  <c r="A47"/>
  <c r="A93"/>
  <c r="B93"/>
  <c r="A94"/>
  <c r="B94"/>
  <c r="A95"/>
  <c r="B95"/>
  <c r="A8" i="7"/>
  <c r="A3"/>
  <c r="A4"/>
  <c r="A10"/>
  <c r="B10"/>
  <c r="A12"/>
  <c r="B12"/>
  <c r="A9" i="23"/>
  <c r="A2"/>
  <c r="A3"/>
  <c r="A4"/>
  <c r="A11"/>
  <c r="B11"/>
  <c r="A13"/>
  <c r="B13"/>
  <c r="A8" i="24"/>
  <c r="A9"/>
  <c r="A2"/>
  <c r="A3"/>
  <c r="A4"/>
  <c r="A11"/>
  <c r="B11"/>
  <c r="A13"/>
  <c r="B13"/>
  <c r="A2" i="25"/>
  <c r="A3"/>
  <c r="A4"/>
  <c r="A11"/>
  <c r="A13"/>
  <c r="B13"/>
  <c r="A2" i="16"/>
  <c r="A3"/>
  <c r="A4"/>
  <c r="A12"/>
  <c r="B12"/>
  <c r="B97" i="1" l="1"/>
  <c r="B99"/>
</calcChain>
</file>

<file path=xl/sharedStrings.xml><?xml version="1.0" encoding="utf-8"?>
<sst xmlns="http://schemas.openxmlformats.org/spreadsheetml/2006/main" count="201" uniqueCount="148">
  <si>
    <t>Company Profile</t>
  </si>
  <si>
    <t>Mission</t>
  </si>
  <si>
    <t>Other</t>
  </si>
  <si>
    <t>Differentiation and strengths</t>
  </si>
  <si>
    <t>Major weaknesses</t>
  </si>
  <si>
    <t>Likely near-term strategic actions</t>
  </si>
  <si>
    <t>Biggest threat</t>
  </si>
  <si>
    <t>Alliances</t>
  </si>
  <si>
    <t>Distribution channels</t>
  </si>
  <si>
    <t>Customer service</t>
  </si>
  <si>
    <t>Sales strategy</t>
  </si>
  <si>
    <t>Geographic coverage</t>
  </si>
  <si>
    <t>Corresponding benefit</t>
  </si>
  <si>
    <t>Differentiation</t>
  </si>
  <si>
    <t>Product Pricing</t>
  </si>
  <si>
    <t>Sales and Distribution</t>
  </si>
  <si>
    <t>Core message</t>
  </si>
  <si>
    <t>Tagline</t>
  </si>
  <si>
    <t>Desired net take away</t>
  </si>
  <si>
    <t>Market share</t>
  </si>
  <si>
    <t>Average sale per direct customer ($)</t>
  </si>
  <si>
    <t>Direct gross margin (%)</t>
  </si>
  <si>
    <t>Indirect gross margin (%)</t>
  </si>
  <si>
    <t>Expected next moves</t>
  </si>
  <si>
    <t>Overall Company Assessment</t>
  </si>
  <si>
    <t>Positioning statement</t>
  </si>
  <si>
    <t>Branding and corporate image</t>
  </si>
  <si>
    <t>Public or private company</t>
  </si>
  <si>
    <t>Promotion and advertising</t>
  </si>
  <si>
    <t>Opportunities</t>
  </si>
  <si>
    <t xml:space="preserve">Opportunities </t>
  </si>
  <si>
    <t>Product 3-year sales growth (%)</t>
  </si>
  <si>
    <t>3-year market growth ($)</t>
  </si>
  <si>
    <t>Gross margin--total ($)</t>
  </si>
  <si>
    <t>Three-year sales growth (%)</t>
  </si>
  <si>
    <t>Price per product ($)</t>
  </si>
  <si>
    <t>Gross margin per product ($)</t>
  </si>
  <si>
    <t>Key feature 1</t>
  </si>
  <si>
    <t>Key feature 2</t>
  </si>
  <si>
    <t>Key feature 3</t>
  </si>
  <si>
    <t xml:space="preserve">Annual product revenue ($) </t>
  </si>
  <si>
    <t xml:space="preserve">Annual product revenue--goal ($) </t>
  </si>
  <si>
    <t>Chart Data</t>
  </si>
  <si>
    <t>Market Share</t>
  </si>
  <si>
    <t>Total</t>
  </si>
  <si>
    <t>Strengths</t>
  </si>
  <si>
    <t>Weaknesses</t>
  </si>
  <si>
    <t>Threats</t>
  </si>
  <si>
    <t>Strengths, Weaknesses, Opportunities, and Threats (SWOT)</t>
  </si>
  <si>
    <t>Overall Product Assessment</t>
  </si>
  <si>
    <t>Packaging</t>
  </si>
  <si>
    <t>Target market</t>
  </si>
  <si>
    <t>Annual revenue--total ($)</t>
  </si>
  <si>
    <t>Product Features and Benefits</t>
  </si>
  <si>
    <t>Product Strategy</t>
  </si>
  <si>
    <t>Financial Analysis</t>
  </si>
  <si>
    <t>Average sale per indirect customer ($)</t>
  </si>
  <si>
    <t>Direct annual revenue ($)</t>
  </si>
  <si>
    <t>Indirect annual revenue ($)</t>
  </si>
  <si>
    <t>PRODUCT DETAILS</t>
  </si>
  <si>
    <t>Premium</t>
  </si>
  <si>
    <t>FISCAL YEAR 2007</t>
  </si>
  <si>
    <t>OWNER: Scott MacDonald</t>
  </si>
  <si>
    <t>FABRIKAM</t>
  </si>
  <si>
    <t>CONTOSO</t>
  </si>
  <si>
    <t>NORTHWIND TRADERS</t>
  </si>
  <si>
    <t>Acquisitions, mergers [Fiscal year 2007]</t>
  </si>
  <si>
    <t>Unknown</t>
  </si>
  <si>
    <t>To be the highest quality widget manufacturer in the USA</t>
  </si>
  <si>
    <t>None</t>
  </si>
  <si>
    <t>Litware, Inc</t>
  </si>
  <si>
    <t>Size, price</t>
  </si>
  <si>
    <t>Quality</t>
  </si>
  <si>
    <t>Customization</t>
  </si>
  <si>
    <t>Customizations</t>
  </si>
  <si>
    <t>Price</t>
  </si>
  <si>
    <t>Increase distribution</t>
  </si>
  <si>
    <t>Increase R&amp;D</t>
  </si>
  <si>
    <t>Acquisitions</t>
  </si>
  <si>
    <t>Minimizes repairs</t>
  </si>
  <si>
    <t>Durable</t>
  </si>
  <si>
    <t>Customizable</t>
  </si>
  <si>
    <t>Meets unique needs</t>
  </si>
  <si>
    <t>Simple installation</t>
  </si>
  <si>
    <t>Reduced down-time</t>
  </si>
  <si>
    <t>Capture large new accounts</t>
  </si>
  <si>
    <t>Companies becoming price sensitive</t>
  </si>
  <si>
    <t>Expand sales force</t>
  </si>
  <si>
    <t>Get more for less</t>
  </si>
  <si>
    <t>We make to order</t>
  </si>
  <si>
    <t>Why compromise?</t>
  </si>
  <si>
    <t>Introduce new Premium Plus widget</t>
  </si>
  <si>
    <t>Make a lower cost, more standardized widget</t>
  </si>
  <si>
    <t>N/A</t>
  </si>
  <si>
    <t>Mid-market</t>
  </si>
  <si>
    <t>Large</t>
  </si>
  <si>
    <t>Small customers</t>
  </si>
  <si>
    <t>Higher-end version of standard widget, with longer life</t>
  </si>
  <si>
    <t>All USA</t>
  </si>
  <si>
    <t>West coast</t>
  </si>
  <si>
    <t>Limited</t>
  </si>
  <si>
    <t>Extensive</t>
  </si>
  <si>
    <t>Extensive and personal</t>
  </si>
  <si>
    <t>Mainly channel</t>
  </si>
  <si>
    <t>Mainly direct</t>
  </si>
  <si>
    <t>National trade shows</t>
  </si>
  <si>
    <t>Regional trade shows and journals</t>
  </si>
  <si>
    <t>High quality and price</t>
  </si>
  <si>
    <t>A name you can trust</t>
  </si>
  <si>
    <t>Quality at a price</t>
  </si>
  <si>
    <t>Service and customization</t>
  </si>
  <si>
    <t>Value for money</t>
  </si>
  <si>
    <t>Individual service</t>
  </si>
  <si>
    <t>Large, market leader</t>
  </si>
  <si>
    <t>You can count on us</t>
  </si>
  <si>
    <t>Great value for money; price competitive; large dealer network; extensive stock available</t>
  </si>
  <si>
    <t>Highly customized to each customer's needs; excellent customer service</t>
  </si>
  <si>
    <t>Product warranty is one year; Reputation for unreliability in some customers</t>
  </si>
  <si>
    <t>Fabrikam reduces the price on their premium widget, or starts discounting more heavily</t>
  </si>
  <si>
    <t xml:space="preserve">Customers are more price sensitive, requiring more discounts or lower prices.  </t>
  </si>
  <si>
    <t>Launch new Premium-plus version of the product that allows for greater margins</t>
  </si>
  <si>
    <t>Capture more large customers who are looking for quality, durable widgets.</t>
  </si>
  <si>
    <t>More and more customers are looking for customized solutions.</t>
  </si>
  <si>
    <t>Contoso, Ltd.</t>
  </si>
  <si>
    <t>Can't get the distribution network</t>
  </si>
  <si>
    <t>Sell on price --discount to get the deal</t>
  </si>
  <si>
    <t>Sell on quantity--seldom discount</t>
  </si>
  <si>
    <t>Sell on customizations --never discount</t>
  </si>
  <si>
    <t>Communications Strategy</t>
  </si>
  <si>
    <t>National trade journals</t>
  </si>
  <si>
    <t>We suit you</t>
  </si>
  <si>
    <t>High quality, great return policy; durable product backed by a 5-year guarantee</t>
  </si>
  <si>
    <t>Price--limited discounts; limited availability in some regions</t>
  </si>
  <si>
    <t>DELUXE</t>
  </si>
  <si>
    <t>BESPOKE</t>
  </si>
  <si>
    <t>Public</t>
  </si>
  <si>
    <t>Private</t>
  </si>
  <si>
    <t>Northwinds takes over West coast distributors</t>
  </si>
  <si>
    <t>Price--no discounts; unable to support national accounts due to West-coast-only presence</t>
  </si>
  <si>
    <t>Grow into West coast</t>
  </si>
  <si>
    <t>COMPETITOR COMPANY 3</t>
  </si>
  <si>
    <t>COMPETITOR PRODUCT 3</t>
  </si>
  <si>
    <t>Product Competitive Analysis</t>
  </si>
  <si>
    <t>To be the lowest cost widget maker in the USA</t>
  </si>
  <si>
    <t>DATE PREPARED: 7/16/2008</t>
  </si>
  <si>
    <t>Introduce new lower-priced widget</t>
  </si>
  <si>
    <t>Fiscal year defined as: [Jan 2008] to [Dec 2008]</t>
  </si>
  <si>
    <t>Unable to expand beyond the West coast, which limits appeal to larger West-coast based companies with East-coast operations.</t>
  </si>
</sst>
</file>

<file path=xl/styles.xml><?xml version="1.0" encoding="utf-8"?>
<styleSheet xmlns="http://schemas.openxmlformats.org/spreadsheetml/2006/main">
  <numFmts count="4">
    <numFmt numFmtId="44" formatCode="_(&quot;$&quot;* #,##0.00_);_(&quot;$&quot;* \(#,##0.00\);_(&quot;$&quot;* &quot;-&quot;??_);_(@_)"/>
    <numFmt numFmtId="164" formatCode="&quot;$&quot;#,##0"/>
    <numFmt numFmtId="165" formatCode="&quot;$&quot;#,##0.0"/>
    <numFmt numFmtId="166" formatCode="0.0%"/>
  </numFmts>
  <fonts count="15">
    <font>
      <sz val="10"/>
      <name val="Arial"/>
    </font>
    <font>
      <sz val="8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indexed="1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8"/>
      <color rgb="FF648DC6"/>
      <name val="Calibri"/>
      <family val="2"/>
      <scheme val="minor"/>
    </font>
    <font>
      <b/>
      <sz val="9"/>
      <name val="Calibri"/>
      <family val="2"/>
      <scheme val="minor"/>
    </font>
    <font>
      <sz val="9"/>
      <color theme="2" tint="-0.749992370372631"/>
      <name val="Calibri"/>
      <family val="2"/>
      <scheme val="minor"/>
    </font>
    <font>
      <sz val="10"/>
      <name val="Arial"/>
      <family val="2"/>
    </font>
    <font>
      <sz val="9"/>
      <color theme="4"/>
      <name val="Calibri"/>
      <family val="2"/>
      <scheme val="minor"/>
    </font>
    <font>
      <sz val="18"/>
      <color theme="4"/>
      <name val="Calibri"/>
      <family val="2"/>
      <scheme val="minor"/>
    </font>
    <font>
      <sz val="14"/>
      <color theme="4"/>
      <name val="Calibri"/>
      <family val="2"/>
      <scheme val="minor"/>
    </font>
    <font>
      <sz val="10"/>
      <color theme="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auto="1"/>
        <bgColor theme="0"/>
      </patternFill>
    </fill>
    <fill>
      <gradientFill degree="90">
        <stop position="0">
          <color theme="4" tint="0.59999389629810485"/>
        </stop>
        <stop position="1">
          <color theme="0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rgb="FF546D80"/>
      </top>
      <bottom/>
      <diagonal/>
    </border>
    <border>
      <left/>
      <right/>
      <top style="thin">
        <color rgb="FF406F96"/>
      </top>
      <bottom style="thin">
        <color rgb="FF406F96"/>
      </bottom>
      <diagonal/>
    </border>
    <border>
      <left/>
      <right/>
      <top/>
      <bottom style="thick">
        <color rgb="FFAED4B4"/>
      </bottom>
      <diagonal/>
    </border>
    <border>
      <left/>
      <right style="hair">
        <color rgb="FF777777"/>
      </right>
      <top/>
      <bottom/>
      <diagonal/>
    </border>
    <border>
      <left style="hair">
        <color rgb="FF777777"/>
      </left>
      <right/>
      <top/>
      <bottom/>
      <diagonal/>
    </border>
    <border>
      <left style="hair">
        <color rgb="FF777777"/>
      </left>
      <right style="hair">
        <color rgb="FF777777"/>
      </right>
      <top/>
      <bottom style="thick">
        <color rgb="FFAED4B4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 style="hair">
        <color rgb="FF777777"/>
      </left>
      <right style="hair">
        <color rgb="FF777777"/>
      </right>
      <top/>
      <bottom/>
      <diagonal/>
    </border>
    <border>
      <left/>
      <right/>
      <top/>
      <bottom style="thick">
        <color theme="5"/>
      </bottom>
      <diagonal/>
    </border>
    <border>
      <left/>
      <right/>
      <top style="thick">
        <color theme="5"/>
      </top>
      <bottom/>
      <diagonal/>
    </border>
    <border>
      <left/>
      <right style="hair">
        <color rgb="FF777777"/>
      </right>
      <top/>
      <bottom style="thick">
        <color theme="5"/>
      </bottom>
      <diagonal/>
    </border>
    <border>
      <left style="hair">
        <color rgb="FF777777"/>
      </left>
      <right/>
      <top/>
      <bottom style="thick">
        <color theme="5"/>
      </bottom>
      <diagonal/>
    </border>
    <border>
      <left/>
      <right/>
      <top/>
      <bottom style="thin">
        <color rgb="FF546D80"/>
      </bottom>
      <diagonal/>
    </border>
  </borders>
  <cellStyleXfs count="6">
    <xf numFmtId="0" fontId="0" fillId="0" borderId="0"/>
    <xf numFmtId="0" fontId="5" fillId="0" borderId="1" applyNumberFormat="0" applyFill="0" applyAlignment="0" applyProtection="0"/>
    <xf numFmtId="0" fontId="6" fillId="0" borderId="0"/>
    <xf numFmtId="49" fontId="8" fillId="0" borderId="3">
      <alignment wrapText="1"/>
    </xf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99">
    <xf numFmtId="0" fontId="0" fillId="0" borderId="0" xfId="0"/>
    <xf numFmtId="0" fontId="2" fillId="0" borderId="0" xfId="0" applyFont="1" applyAlignment="1">
      <alignment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Fill="1" applyAlignment="1">
      <alignment wrapText="1"/>
    </xf>
    <xf numFmtId="0" fontId="4" fillId="0" borderId="0" xfId="0" applyFont="1" applyAlignment="1">
      <alignment wrapText="1"/>
    </xf>
    <xf numFmtId="10" fontId="2" fillId="0" borderId="0" xfId="0" applyNumberFormat="1" applyFont="1" applyAlignment="1">
      <alignment wrapText="1"/>
    </xf>
    <xf numFmtId="0" fontId="2" fillId="0" borderId="0" xfId="0" applyFont="1"/>
    <xf numFmtId="0" fontId="2" fillId="0" borderId="0" xfId="0" applyFont="1" applyAlignment="1"/>
    <xf numFmtId="14" fontId="2" fillId="0" borderId="0" xfId="0" applyNumberFormat="1" applyFont="1" applyAlignment="1"/>
    <xf numFmtId="0" fontId="6" fillId="0" borderId="0" xfId="2"/>
    <xf numFmtId="0" fontId="7" fillId="0" borderId="0" xfId="0" applyFont="1" applyAlignment="1">
      <alignment wrapText="1"/>
    </xf>
    <xf numFmtId="0" fontId="3" fillId="0" borderId="0" xfId="1" applyFont="1" applyFill="1" applyBorder="1" applyAlignment="1">
      <alignment horizontal="left" wrapText="1"/>
    </xf>
    <xf numFmtId="49" fontId="7" fillId="2" borderId="2" xfId="3" applyFont="1" applyFill="1" applyBorder="1" applyAlignment="1"/>
    <xf numFmtId="0" fontId="6" fillId="0" borderId="0" xfId="2" applyBorder="1"/>
    <xf numFmtId="0" fontId="9" fillId="0" borderId="0" xfId="0" applyNumberFormat="1" applyFont="1" applyAlignment="1">
      <alignment horizontal="left" vertical="center" wrapText="1"/>
    </xf>
    <xf numFmtId="0" fontId="2" fillId="0" borderId="0" xfId="0" applyFont="1" applyBorder="1"/>
    <xf numFmtId="0" fontId="2" fillId="0" borderId="0" xfId="0" applyFont="1" applyBorder="1" applyAlignment="1"/>
    <xf numFmtId="14" fontId="2" fillId="0" borderId="0" xfId="0" applyNumberFormat="1" applyFont="1" applyBorder="1" applyAlignment="1"/>
    <xf numFmtId="0" fontId="3" fillId="0" borderId="0" xfId="1" applyFont="1" applyFill="1" applyBorder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Border="1" applyAlignment="1">
      <alignment horizontal="left" vertical="top" wrapText="1" indent="2"/>
    </xf>
    <xf numFmtId="0" fontId="3" fillId="0" borderId="0" xfId="1" applyFont="1" applyFill="1" applyBorder="1" applyAlignment="1">
      <alignment vertical="top"/>
    </xf>
    <xf numFmtId="0" fontId="3" fillId="0" borderId="0" xfId="1" applyFont="1" applyFill="1" applyBorder="1" applyAlignment="1">
      <alignment horizontal="left" vertical="top"/>
    </xf>
    <xf numFmtId="0" fontId="6" fillId="0" borderId="0" xfId="2" applyFont="1"/>
    <xf numFmtId="0" fontId="7" fillId="0" borderId="0" xfId="0" applyFont="1" applyAlignment="1"/>
    <xf numFmtId="0" fontId="2" fillId="0" borderId="0" xfId="0" applyFont="1" applyFill="1" applyAlignment="1"/>
    <xf numFmtId="3" fontId="2" fillId="0" borderId="6" xfId="0" applyNumberFormat="1" applyFont="1" applyBorder="1" applyAlignment="1">
      <alignment horizontal="left" vertical="top" wrapText="1" indent="2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protection locked="0"/>
    </xf>
    <xf numFmtId="49" fontId="7" fillId="3" borderId="2" xfId="3" applyFont="1" applyFill="1" applyBorder="1" applyAlignment="1" applyProtection="1">
      <protection locked="0"/>
    </xf>
    <xf numFmtId="0" fontId="11" fillId="0" borderId="0" xfId="0" applyFont="1" applyAlignment="1">
      <alignment wrapText="1"/>
    </xf>
    <xf numFmtId="0" fontId="3" fillId="4" borderId="11" xfId="0" applyFont="1" applyFill="1" applyBorder="1"/>
    <xf numFmtId="0" fontId="2" fillId="4" borderId="8" xfId="0" applyFont="1" applyFill="1" applyBorder="1"/>
    <xf numFmtId="0" fontId="2" fillId="4" borderId="8" xfId="0" applyFont="1" applyFill="1" applyBorder="1" applyAlignment="1">
      <alignment horizontal="right" wrapText="1" indent="2"/>
    </xf>
    <xf numFmtId="2" fontId="2" fillId="4" borderId="8" xfId="0" applyNumberFormat="1" applyFont="1" applyFill="1" applyBorder="1" applyAlignment="1">
      <alignment horizontal="right" wrapText="1" indent="2"/>
    </xf>
    <xf numFmtId="0" fontId="3" fillId="5" borderId="0" xfId="0" applyFont="1" applyFill="1" applyBorder="1"/>
    <xf numFmtId="0" fontId="2" fillId="0" borderId="0" xfId="0" applyFont="1" applyFill="1" applyBorder="1" applyAlignment="1">
      <alignment horizontal="left" vertical="top" wrapText="1" indent="1"/>
    </xf>
    <xf numFmtId="164" fontId="2" fillId="0" borderId="9" xfId="0" applyNumberFormat="1" applyFont="1" applyFill="1" applyBorder="1" applyAlignment="1">
      <alignment horizontal="left" vertical="top" wrapText="1" indent="1"/>
    </xf>
    <xf numFmtId="164" fontId="2" fillId="0" borderId="5" xfId="0" applyNumberFormat="1" applyFont="1" applyFill="1" applyBorder="1" applyAlignment="1">
      <alignment horizontal="left" vertical="top" wrapText="1" indent="1"/>
    </xf>
    <xf numFmtId="164" fontId="2" fillId="0" borderId="0" xfId="0" applyNumberFormat="1" applyFont="1" applyFill="1" applyBorder="1" applyAlignment="1">
      <alignment horizontal="left" vertical="top" wrapText="1" indent="1"/>
    </xf>
    <xf numFmtId="3" fontId="2" fillId="0" borderId="9" xfId="0" applyNumberFormat="1" applyFont="1" applyFill="1" applyBorder="1" applyAlignment="1">
      <alignment horizontal="left" vertical="top" wrapText="1" indent="1"/>
    </xf>
    <xf numFmtId="3" fontId="2" fillId="0" borderId="5" xfId="0" applyNumberFormat="1" applyFont="1" applyFill="1" applyBorder="1" applyAlignment="1">
      <alignment horizontal="left" vertical="top" wrapText="1" indent="1"/>
    </xf>
    <xf numFmtId="3" fontId="2" fillId="0" borderId="0" xfId="0" applyNumberFormat="1" applyFont="1" applyFill="1" applyBorder="1" applyAlignment="1">
      <alignment horizontal="left" vertical="top" wrapText="1" indent="1"/>
    </xf>
    <xf numFmtId="0" fontId="2" fillId="0" borderId="9" xfId="0" applyFont="1" applyFill="1" applyBorder="1" applyAlignment="1">
      <alignment horizontal="left" vertical="top" indent="1"/>
    </xf>
    <xf numFmtId="0" fontId="2" fillId="0" borderId="5" xfId="0" applyFont="1" applyFill="1" applyBorder="1" applyAlignment="1">
      <alignment horizontal="left" vertical="top" wrapText="1" indent="1"/>
    </xf>
    <xf numFmtId="0" fontId="2" fillId="0" borderId="0" xfId="0" applyFont="1" applyFill="1" applyBorder="1" applyAlignment="1">
      <alignment horizontal="left" vertical="top" indent="1"/>
    </xf>
    <xf numFmtId="0" fontId="2" fillId="0" borderId="0" xfId="0" applyFont="1" applyAlignment="1">
      <alignment horizontal="left" vertical="top" wrapText="1" indent="1"/>
    </xf>
    <xf numFmtId="164" fontId="2" fillId="0" borderId="9" xfId="4" applyNumberFormat="1" applyFont="1" applyFill="1" applyBorder="1" applyAlignment="1">
      <alignment horizontal="left" vertical="top" wrapText="1" indent="1"/>
    </xf>
    <xf numFmtId="164" fontId="2" fillId="0" borderId="6" xfId="4" applyNumberFormat="1" applyFont="1" applyFill="1" applyBorder="1" applyAlignment="1">
      <alignment horizontal="left" vertical="top" wrapText="1" indent="1"/>
    </xf>
    <xf numFmtId="9" fontId="2" fillId="0" borderId="9" xfId="5" applyFont="1" applyFill="1" applyBorder="1" applyAlignment="1">
      <alignment horizontal="left" vertical="top" wrapText="1" indent="1"/>
    </xf>
    <xf numFmtId="9" fontId="2" fillId="0" borderId="5" xfId="5" applyFont="1" applyFill="1" applyBorder="1" applyAlignment="1">
      <alignment horizontal="left" vertical="top" wrapText="1" indent="1"/>
    </xf>
    <xf numFmtId="9" fontId="2" fillId="0" borderId="0" xfId="5" applyFont="1" applyFill="1" applyBorder="1" applyAlignment="1">
      <alignment horizontal="left" vertical="top" wrapText="1" indent="1"/>
    </xf>
    <xf numFmtId="0" fontId="3" fillId="0" borderId="0" xfId="0" applyFont="1" applyFill="1" applyBorder="1" applyAlignment="1">
      <alignment horizontal="left" vertical="top" wrapText="1" indent="1"/>
    </xf>
    <xf numFmtId="0" fontId="2" fillId="0" borderId="9" xfId="0" applyFont="1" applyFill="1" applyBorder="1" applyAlignment="1">
      <alignment horizontal="left" vertical="top" wrapText="1" indent="1"/>
    </xf>
    <xf numFmtId="3" fontId="2" fillId="0" borderId="6" xfId="0" applyNumberFormat="1" applyFont="1" applyFill="1" applyBorder="1" applyAlignment="1">
      <alignment horizontal="left" vertical="top" wrapText="1" indent="1"/>
    </xf>
    <xf numFmtId="9" fontId="2" fillId="0" borderId="9" xfId="0" applyNumberFormat="1" applyFont="1" applyFill="1" applyBorder="1" applyAlignment="1">
      <alignment horizontal="left" vertical="top" wrapText="1" indent="1"/>
    </xf>
    <xf numFmtId="9" fontId="2" fillId="0" borderId="5" xfId="0" applyNumberFormat="1" applyFont="1" applyFill="1" applyBorder="1" applyAlignment="1">
      <alignment horizontal="left" vertical="top" wrapText="1" indent="1"/>
    </xf>
    <xf numFmtId="9" fontId="2" fillId="0" borderId="0" xfId="0" applyNumberFormat="1" applyFont="1" applyFill="1" applyBorder="1" applyAlignment="1">
      <alignment horizontal="left" vertical="top" wrapText="1" indent="1"/>
    </xf>
    <xf numFmtId="164" fontId="2" fillId="0" borderId="9" xfId="0" applyNumberFormat="1" applyFont="1" applyFill="1" applyBorder="1" applyAlignment="1">
      <alignment horizontal="left" vertical="top" indent="1"/>
    </xf>
    <xf numFmtId="164" fontId="2" fillId="0" borderId="5" xfId="0" applyNumberFormat="1" applyFont="1" applyFill="1" applyBorder="1" applyAlignment="1">
      <alignment horizontal="left" vertical="top" indent="1"/>
    </xf>
    <xf numFmtId="164" fontId="2" fillId="0" borderId="0" xfId="0" applyNumberFormat="1" applyFont="1" applyFill="1" applyBorder="1" applyAlignment="1">
      <alignment horizontal="left" vertical="top" indent="1"/>
    </xf>
    <xf numFmtId="166" fontId="2" fillId="0" borderId="9" xfId="0" applyNumberFormat="1" applyFont="1" applyFill="1" applyBorder="1" applyAlignment="1">
      <alignment horizontal="left" vertical="top" indent="1"/>
    </xf>
    <xf numFmtId="166" fontId="2" fillId="0" borderId="5" xfId="0" applyNumberFormat="1" applyFont="1" applyFill="1" applyBorder="1" applyAlignment="1">
      <alignment horizontal="left" vertical="top" indent="1"/>
    </xf>
    <xf numFmtId="166" fontId="2" fillId="0" borderId="0" xfId="0" applyNumberFormat="1" applyFont="1" applyFill="1" applyBorder="1" applyAlignment="1">
      <alignment horizontal="left" vertical="top" indent="1"/>
    </xf>
    <xf numFmtId="166" fontId="2" fillId="0" borderId="9" xfId="0" applyNumberFormat="1" applyFont="1" applyFill="1" applyBorder="1" applyAlignment="1">
      <alignment horizontal="left" vertical="top" wrapText="1" indent="1"/>
    </xf>
    <xf numFmtId="166" fontId="2" fillId="0" borderId="5" xfId="0" applyNumberFormat="1" applyFont="1" applyFill="1" applyBorder="1" applyAlignment="1">
      <alignment horizontal="left" vertical="top" wrapText="1" indent="1"/>
    </xf>
    <xf numFmtId="166" fontId="2" fillId="0" borderId="0" xfId="0" applyNumberFormat="1" applyFont="1" applyFill="1" applyBorder="1" applyAlignment="1">
      <alignment horizontal="left" vertical="top" wrapText="1" indent="1"/>
    </xf>
    <xf numFmtId="3" fontId="2" fillId="0" borderId="9" xfId="0" applyNumberFormat="1" applyFont="1" applyFill="1" applyBorder="1" applyAlignment="1">
      <alignment horizontal="left" vertical="top" indent="1"/>
    </xf>
    <xf numFmtId="3" fontId="2" fillId="0" borderId="5" xfId="0" applyNumberFormat="1" applyFont="1" applyFill="1" applyBorder="1" applyAlignment="1">
      <alignment horizontal="left" vertical="top" indent="1"/>
    </xf>
    <xf numFmtId="3" fontId="2" fillId="0" borderId="0" xfId="0" applyNumberFormat="1" applyFont="1" applyFill="1" applyBorder="1" applyAlignment="1">
      <alignment horizontal="left" vertical="top" indent="1"/>
    </xf>
    <xf numFmtId="0" fontId="2" fillId="0" borderId="5" xfId="0" applyFont="1" applyFill="1" applyBorder="1" applyAlignment="1">
      <alignment horizontal="left" vertical="top" indent="1"/>
    </xf>
    <xf numFmtId="165" fontId="2" fillId="0" borderId="5" xfId="0" applyNumberFormat="1" applyFont="1" applyFill="1" applyBorder="1" applyAlignment="1">
      <alignment horizontal="left" vertical="top" wrapText="1" indent="1"/>
    </xf>
    <xf numFmtId="0" fontId="2" fillId="0" borderId="4" xfId="0" applyFont="1" applyFill="1" applyBorder="1" applyAlignment="1">
      <alignment horizontal="left" vertical="top" wrapText="1" indent="1"/>
    </xf>
    <xf numFmtId="164" fontId="2" fillId="0" borderId="7" xfId="0" applyNumberFormat="1" applyFont="1" applyFill="1" applyBorder="1" applyAlignment="1">
      <alignment horizontal="left" vertical="top" wrapText="1" indent="1"/>
    </xf>
    <xf numFmtId="3" fontId="2" fillId="0" borderId="7" xfId="0" applyNumberFormat="1" applyFont="1" applyFill="1" applyBorder="1" applyAlignment="1">
      <alignment horizontal="left" vertical="top" wrapText="1" indent="1"/>
    </xf>
    <xf numFmtId="164" fontId="2" fillId="0" borderId="4" xfId="0" applyNumberFormat="1" applyFont="1" applyFill="1" applyBorder="1" applyAlignment="1">
      <alignment horizontal="left" vertical="top" wrapText="1" indent="1"/>
    </xf>
    <xf numFmtId="0" fontId="2" fillId="0" borderId="6" xfId="0" applyFont="1" applyFill="1" applyBorder="1" applyAlignment="1">
      <alignment horizontal="left" vertical="top" wrapText="1" indent="1"/>
    </xf>
    <xf numFmtId="0" fontId="13" fillId="0" borderId="0" xfId="0" applyNumberFormat="1" applyFont="1" applyAlignment="1">
      <alignment horizontal="left"/>
    </xf>
    <xf numFmtId="0" fontId="14" fillId="0" borderId="0" xfId="0" applyFont="1" applyAlignment="1"/>
    <xf numFmtId="49" fontId="7" fillId="3" borderId="2" xfId="3" applyFont="1" applyFill="1" applyBorder="1" applyAlignment="1"/>
    <xf numFmtId="0" fontId="2" fillId="0" borderId="5" xfId="0" applyNumberFormat="1" applyFont="1" applyBorder="1" applyAlignment="1">
      <alignment horizontal="left" vertical="top" wrapText="1" indent="1"/>
    </xf>
    <xf numFmtId="0" fontId="2" fillId="0" borderId="6" xfId="0" applyNumberFormat="1" applyFont="1" applyBorder="1" applyAlignment="1">
      <alignment horizontal="left" vertical="top" wrapText="1" indent="1"/>
    </xf>
    <xf numFmtId="0" fontId="13" fillId="0" borderId="0" xfId="0" applyNumberFormat="1" applyFont="1" applyBorder="1" applyAlignment="1">
      <alignment horizontal="left"/>
    </xf>
    <xf numFmtId="49" fontId="7" fillId="3" borderId="0" xfId="3" applyFont="1" applyFill="1" applyBorder="1" applyAlignment="1"/>
    <xf numFmtId="0" fontId="2" fillId="0" borderId="5" xfId="0" applyNumberFormat="1" applyFont="1" applyFill="1" applyBorder="1" applyAlignment="1">
      <alignment horizontal="left" vertical="top" wrapText="1" indent="1"/>
    </xf>
    <xf numFmtId="0" fontId="2" fillId="0" borderId="6" xfId="0" applyNumberFormat="1" applyFont="1" applyFill="1" applyBorder="1" applyAlignment="1">
      <alignment horizontal="left" vertical="top" wrapText="1" indent="1"/>
    </xf>
    <xf numFmtId="0" fontId="14" fillId="0" borderId="0" xfId="0" applyFont="1" applyBorder="1"/>
    <xf numFmtId="0" fontId="2" fillId="0" borderId="12" xfId="0" applyNumberFormat="1" applyFont="1" applyFill="1" applyBorder="1" applyAlignment="1">
      <alignment horizontal="left" vertical="top" wrapText="1" indent="1"/>
    </xf>
    <xf numFmtId="0" fontId="2" fillId="0" borderId="13" xfId="0" applyNumberFormat="1" applyFont="1" applyFill="1" applyBorder="1" applyAlignment="1">
      <alignment horizontal="left" vertical="top" wrapText="1" indent="1"/>
    </xf>
    <xf numFmtId="0" fontId="2" fillId="0" borderId="12" xfId="0" applyNumberFormat="1" applyFont="1" applyBorder="1" applyAlignment="1">
      <alignment horizontal="left" vertical="top" wrapText="1" indent="1"/>
    </xf>
    <xf numFmtId="0" fontId="2" fillId="0" borderId="13" xfId="0" applyNumberFormat="1" applyFont="1" applyBorder="1" applyAlignment="1">
      <alignment horizontal="left" vertical="top" wrapText="1" indent="1"/>
    </xf>
    <xf numFmtId="0" fontId="2" fillId="0" borderId="10" xfId="0" applyFont="1" applyFill="1" applyBorder="1" applyAlignment="1">
      <alignment horizontal="left" vertical="top" wrapText="1" indent="1"/>
    </xf>
    <xf numFmtId="0" fontId="2" fillId="0" borderId="13" xfId="0" applyFont="1" applyFill="1" applyBorder="1" applyAlignment="1">
      <alignment horizontal="left" vertical="top" wrapText="1" indent="1"/>
    </xf>
    <xf numFmtId="0" fontId="2" fillId="0" borderId="10" xfId="0" applyNumberFormat="1" applyFont="1" applyBorder="1" applyAlignment="1">
      <alignment horizontal="left" vertical="top" wrapText="1" indent="2"/>
    </xf>
    <xf numFmtId="0" fontId="2" fillId="0" borderId="13" xfId="0" applyNumberFormat="1" applyFont="1" applyBorder="1" applyAlignment="1">
      <alignment horizontal="left" vertical="top" wrapText="1" indent="2"/>
    </xf>
    <xf numFmtId="0" fontId="2" fillId="0" borderId="0" xfId="0" applyNumberFormat="1" applyFont="1" applyBorder="1" applyAlignment="1">
      <alignment horizontal="left" vertical="top" wrapText="1" indent="1"/>
    </xf>
    <xf numFmtId="0" fontId="2" fillId="0" borderId="10" xfId="0" applyNumberFormat="1" applyFont="1" applyBorder="1" applyAlignment="1">
      <alignment horizontal="left" vertical="top" wrapText="1" indent="1"/>
    </xf>
    <xf numFmtId="0" fontId="12" fillId="0" borderId="14" xfId="0" applyNumberFormat="1" applyFont="1" applyBorder="1" applyAlignment="1">
      <alignment horizontal="left" wrapText="1"/>
    </xf>
    <xf numFmtId="0" fontId="0" fillId="0" borderId="14" xfId="0" applyBorder="1" applyAlignment="1">
      <alignment wrapText="1"/>
    </xf>
  </cellXfs>
  <cellStyles count="6">
    <cellStyle name="Company name" xfId="2"/>
    <cellStyle name="Currency" xfId="4" builtinId="4"/>
    <cellStyle name="Heading 1" xfId="1" builtinId="16" customBuiltin="1"/>
    <cellStyle name="Normal" xfId="0" builtinId="0"/>
    <cellStyle name="Percent" xfId="5" builtinId="5"/>
    <cellStyle name="Style 1" xfId="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E6E6E6"/>
      <rgbColor rgb="000000FF"/>
      <rgbColor rgb="00FFFF00"/>
      <rgbColor rgb="00CCCC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FFFFCC"/>
      <rgbColor rgb="00003300"/>
      <rgbColor rgb="00333300"/>
      <rgbColor rgb="00993300"/>
      <rgbColor rgb="00993366"/>
      <rgbColor rgb="00333399"/>
      <rgbColor rgb="00333333"/>
    </indexedColors>
    <mruColors>
      <color rgb="FFAED4B4"/>
      <color rgb="FF777777"/>
      <color rgb="FF648DC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1"/>
  <c:chart>
    <c:title>
      <c:tx>
        <c:rich>
          <a:bodyPr/>
          <a:lstStyle/>
          <a:p>
            <a:pPr>
              <a:defRPr/>
            </a:pPr>
            <a:r>
              <a:rPr lang="en-GB"/>
              <a:t>Market Share</a:t>
            </a:r>
            <a:endParaRPr lang="en-US"/>
          </a:p>
        </c:rich>
      </c:tx>
      <c:layout>
        <c:manualLayout>
          <c:xMode val="edge"/>
          <c:yMode val="edge"/>
          <c:x val="0.44140197152245625"/>
          <c:y val="1.9637462235649546E-2"/>
        </c:manualLayout>
      </c:layout>
    </c:title>
    <c:plotArea>
      <c:layout>
        <c:manualLayout>
          <c:layoutTarget val="inner"/>
          <c:xMode val="edge"/>
          <c:yMode val="edge"/>
          <c:x val="0.27382256297919316"/>
          <c:y val="0.23111782477341389"/>
          <c:w val="0.45235487404162283"/>
          <c:h val="0.6238670694864048"/>
        </c:manualLayout>
      </c:layout>
      <c:pieChart>
        <c:varyColors val="1"/>
        <c:ser>
          <c:idx val="0"/>
          <c:order val="0"/>
          <c:dPt>
            <c:idx val="0"/>
            <c:spPr>
              <a:solidFill>
                <a:schemeClr val="accent3">
                  <a:lumMod val="5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</c:dPt>
          <c:dPt>
            <c:idx val="1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dPt>
          <c:dPt>
            <c:idx val="2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dPt>
          <c:dPt>
            <c:idx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</c:spPr>
          </c:dPt>
          <c:dPt>
            <c:idx val="4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solidFill>
                  <a:schemeClr val="accent1">
                    <a:lumMod val="40000"/>
                    <a:lumOff val="60000"/>
                  </a:schemeClr>
                </a:solidFill>
              </a:ln>
            </c:spPr>
          </c:dPt>
          <c:dLbls>
            <c:dLbl>
              <c:idx val="0"/>
              <c:numFmt formatCode="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</c:dLbl>
            <c:dLbl>
              <c:idx val="1"/>
              <c:numFmt formatCode="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</c:dLbl>
            <c:dLbl>
              <c:idx val="2"/>
              <c:numFmt formatCode="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</c:dLbl>
            <c:dLbl>
              <c:idx val="3"/>
              <c:numFmt formatCode="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</c:dLbl>
            <c:dLbl>
              <c:idx val="4"/>
              <c:numFmt formatCode="0.0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</c:dLbl>
            <c:numFmt formatCode="General" sourceLinked="0"/>
            <c:showVal val="1"/>
            <c:showCatName val="1"/>
            <c:separator>
</c:separator>
            <c:showLeaderLines val="1"/>
          </c:dLbls>
          <c:cat>
            <c:strRef>
              <c:f>Premium!$A$93:$A$97</c:f>
              <c:strCache>
                <c:ptCount val="5"/>
                <c:pt idx="0">
                  <c:v>Premium</c:v>
                </c:pt>
                <c:pt idx="1">
                  <c:v>DELUXE</c:v>
                </c:pt>
                <c:pt idx="2">
                  <c:v>BESPOKE</c:v>
                </c:pt>
                <c:pt idx="3">
                  <c:v>COMPETITOR PRODUCT 3</c:v>
                </c:pt>
                <c:pt idx="4">
                  <c:v>Other</c:v>
                </c:pt>
              </c:strCache>
            </c:strRef>
          </c:cat>
          <c:val>
            <c:numRef>
              <c:f>Premium!$B$93:$B$97</c:f>
              <c:numCache>
                <c:formatCode>General</c:formatCode>
                <c:ptCount val="5"/>
                <c:pt idx="0">
                  <c:v>0.45</c:v>
                </c:pt>
                <c:pt idx="1">
                  <c:v>0.28000000000000003</c:v>
                </c:pt>
                <c:pt idx="2">
                  <c:v>0.15</c:v>
                </c:pt>
                <c:pt idx="3" formatCode="0.00">
                  <c:v>0.05</c:v>
                </c:pt>
                <c:pt idx="4" formatCode="0.00">
                  <c:v>7.0000000000000021E-2</c:v>
                </c:pt>
              </c:numCache>
            </c:numRef>
          </c:val>
        </c:ser>
        <c:dLbls>
          <c:showVal val="1"/>
          <c:showCatName val="1"/>
          <c:separator>
</c:separator>
        </c:dLbls>
        <c:firstSliceAng val="0"/>
      </c:pieChart>
    </c:plotArea>
    <c:plotVisOnly val="1"/>
    <c:dispBlanksAs val="zero"/>
  </c:chart>
  <c:spPr>
    <a:ln>
      <a:noFill/>
    </a:ln>
  </c:sp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published="0">
    <tabColor theme="2" tint="-0.249977111117893"/>
  </sheetPr>
  <sheetViews>
    <sheetView zoomScale="79" workbookViewId="0"/>
  </sheetViews>
  <pageMargins left="0.7" right="0.7" top="0.75" bottom="0.75" header="0.5" footer="0.5"/>
  <pageSetup firstPageNumber="26214" orientation="landscape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8921" y="0"/>
    <xdr:ext cx="8594651" cy="6209709"/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Work Essentials">
  <a:themeElements>
    <a:clrScheme name="Work Essentials">
      <a:dk1>
        <a:sysClr val="windowText" lastClr="000000"/>
      </a:dk1>
      <a:lt1>
        <a:sysClr val="window" lastClr="FFFFFF"/>
      </a:lt1>
      <a:dk2>
        <a:srgbClr val="335889"/>
      </a:dk2>
      <a:lt2>
        <a:srgbClr val="DDDDDD"/>
      </a:lt2>
      <a:accent1>
        <a:srgbClr val="648DC6"/>
      </a:accent1>
      <a:accent2>
        <a:srgbClr val="AED4B4"/>
      </a:accent2>
      <a:accent3>
        <a:srgbClr val="E0E9F4"/>
      </a:accent3>
      <a:accent4>
        <a:srgbClr val="549A65"/>
      </a:accent4>
      <a:accent5>
        <a:srgbClr val="617F95"/>
      </a:accent5>
      <a:accent6>
        <a:srgbClr val="BAC7BC"/>
      </a:accent6>
      <a:hlink>
        <a:srgbClr val="FFAD0A"/>
      </a:hlink>
      <a:folHlink>
        <a:srgbClr val="617F95"/>
      </a:folHlink>
    </a:clrScheme>
    <a:fontScheme name="Work Essentials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Foundry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80000"/>
              </a:schemeClr>
            </a:gs>
            <a:gs pos="62000">
              <a:schemeClr val="phClr">
                <a:tint val="30000"/>
                <a:satMod val="180000"/>
              </a:schemeClr>
            </a:gs>
            <a:gs pos="100000">
              <a:schemeClr val="phClr">
                <a:tint val="22000"/>
                <a:satMod val="18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58000"/>
                <a:satMod val="150000"/>
              </a:schemeClr>
            </a:gs>
            <a:gs pos="72000">
              <a:schemeClr val="phClr">
                <a:tint val="90000"/>
                <a:satMod val="135000"/>
              </a:schemeClr>
            </a:gs>
            <a:gs pos="100000">
              <a:schemeClr val="phClr">
                <a:tint val="80000"/>
                <a:satMod val="15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80000"/>
            </a:schemeClr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soft" dir="tl">
              <a:rot lat="0" lon="0" rev="20000000"/>
            </a:lightRig>
          </a:scene3d>
          <a:sp3d prstMaterial="matte">
            <a:bevelT w="63500" h="6350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theme="4" tint="0.39997558519241921"/>
  </sheetPr>
  <dimension ref="A1:N100"/>
  <sheetViews>
    <sheetView showGridLines="0" tabSelected="1" workbookViewId="0">
      <pane ySplit="8" topLeftCell="A32" activePane="bottomLeft" state="frozen"/>
      <selection activeCell="B1" sqref="B1"/>
      <selection pane="bottomLeft"/>
    </sheetView>
  </sheetViews>
  <sheetFormatPr defaultRowHeight="12.75"/>
  <cols>
    <col min="1" max="1" width="36" style="2" customWidth="1"/>
    <col min="2" max="2" width="20.7109375" style="1" customWidth="1"/>
    <col min="3" max="3" width="15.85546875" style="1" customWidth="1"/>
    <col min="4" max="4" width="17" style="1" customWidth="1"/>
    <col min="5" max="5" width="15.7109375" style="1" customWidth="1"/>
    <col min="6" max="6" width="12.5703125" style="1" hidden="1" customWidth="1"/>
    <col min="7" max="7" width="9.140625" style="7"/>
    <col min="8" max="16384" width="9.140625" style="1"/>
  </cols>
  <sheetData>
    <row r="1" spans="1:11" ht="15" customHeight="1">
      <c r="A1" s="23" t="s">
        <v>123</v>
      </c>
    </row>
    <row r="2" spans="1:11" ht="12.75" customHeight="1">
      <c r="A2" s="14" t="s">
        <v>61</v>
      </c>
    </row>
    <row r="3" spans="1:11" ht="12.75" customHeight="1">
      <c r="A3" s="14" t="s">
        <v>144</v>
      </c>
    </row>
    <row r="4" spans="1:11" ht="12.75" customHeight="1">
      <c r="A4" s="14" t="s">
        <v>62</v>
      </c>
    </row>
    <row r="5" spans="1:11" ht="12.75" customHeight="1">
      <c r="A5" s="1"/>
    </row>
    <row r="6" spans="1:11" s="10" customFormat="1" ht="42" customHeight="1">
      <c r="A6" s="97" t="s">
        <v>142</v>
      </c>
      <c r="B6" s="98"/>
      <c r="E6" s="30" t="str">
        <f>B8&amp;" Confidential"</f>
        <v>CONTOSO Confidential</v>
      </c>
      <c r="G6" s="24"/>
    </row>
    <row r="7" spans="1:11" s="27" customFormat="1" ht="13.5" customHeight="1">
      <c r="A7" s="29"/>
      <c r="B7" s="29"/>
      <c r="C7" s="29"/>
      <c r="D7" s="29"/>
      <c r="E7" s="29"/>
      <c r="G7" s="28"/>
    </row>
    <row r="8" spans="1:11" ht="32.25" customHeight="1" thickBot="1">
      <c r="A8" s="11" t="s">
        <v>60</v>
      </c>
      <c r="B8" s="11" t="s">
        <v>64</v>
      </c>
      <c r="C8" s="11" t="s">
        <v>63</v>
      </c>
      <c r="D8" s="11" t="s">
        <v>65</v>
      </c>
      <c r="E8" s="11" t="s">
        <v>140</v>
      </c>
    </row>
    <row r="9" spans="1:11" ht="13.5" thickTop="1">
      <c r="A9" s="31" t="s">
        <v>0</v>
      </c>
      <c r="B9" s="31"/>
      <c r="C9" s="31"/>
      <c r="D9" s="31"/>
      <c r="E9" s="31"/>
    </row>
    <row r="10" spans="1:11" ht="12.75" customHeight="1">
      <c r="A10" s="36" t="s">
        <v>52</v>
      </c>
      <c r="B10" s="37">
        <v>55000000</v>
      </c>
      <c r="C10" s="38">
        <v>26000000</v>
      </c>
      <c r="D10" s="38">
        <v>9000000</v>
      </c>
      <c r="E10" s="39"/>
    </row>
    <row r="11" spans="1:11" ht="12.75" customHeight="1">
      <c r="A11" s="36" t="s">
        <v>33</v>
      </c>
      <c r="B11" s="47">
        <v>16000000</v>
      </c>
      <c r="C11" s="47">
        <v>11000000</v>
      </c>
      <c r="D11" s="47">
        <v>3500000</v>
      </c>
      <c r="E11" s="48"/>
      <c r="G11" s="25"/>
      <c r="H11" s="3"/>
      <c r="I11" s="3"/>
      <c r="J11" s="3"/>
    </row>
    <row r="12" spans="1:11" ht="12.75" customHeight="1">
      <c r="A12" s="36" t="s">
        <v>34</v>
      </c>
      <c r="B12" s="49">
        <v>0.16</v>
      </c>
      <c r="C12" s="50">
        <v>0.08</v>
      </c>
      <c r="D12" s="50">
        <v>0.35</v>
      </c>
      <c r="E12" s="51"/>
      <c r="G12" s="25"/>
      <c r="H12" s="3"/>
      <c r="I12" s="3"/>
      <c r="J12" s="3"/>
    </row>
    <row r="13" spans="1:11">
      <c r="A13" s="52"/>
      <c r="B13" s="53"/>
      <c r="C13" s="44"/>
      <c r="D13" s="44"/>
      <c r="E13" s="36"/>
    </row>
    <row r="14" spans="1:11" ht="63.75">
      <c r="A14" s="36" t="s">
        <v>1</v>
      </c>
      <c r="B14" s="40" t="s">
        <v>143</v>
      </c>
      <c r="C14" s="41" t="s">
        <v>68</v>
      </c>
      <c r="D14" s="41" t="s">
        <v>67</v>
      </c>
      <c r="E14" s="42"/>
    </row>
    <row r="15" spans="1:11" ht="12.75" customHeight="1">
      <c r="A15" s="36" t="s">
        <v>66</v>
      </c>
      <c r="B15" s="40" t="s">
        <v>69</v>
      </c>
      <c r="C15" s="41" t="s">
        <v>69</v>
      </c>
      <c r="D15" s="41" t="s">
        <v>69</v>
      </c>
      <c r="E15" s="42"/>
    </row>
    <row r="16" spans="1:11">
      <c r="A16" s="36" t="s">
        <v>7</v>
      </c>
      <c r="B16" s="40" t="s">
        <v>69</v>
      </c>
      <c r="C16" s="41" t="s">
        <v>70</v>
      </c>
      <c r="D16" s="41" t="s">
        <v>69</v>
      </c>
      <c r="E16" s="46"/>
      <c r="F16" s="3"/>
      <c r="G16" s="25"/>
      <c r="H16" s="3"/>
      <c r="I16" s="3"/>
      <c r="J16" s="3"/>
      <c r="K16" s="3"/>
    </row>
    <row r="17" spans="1:11">
      <c r="A17" s="36" t="s">
        <v>27</v>
      </c>
      <c r="B17" s="40" t="s">
        <v>135</v>
      </c>
      <c r="C17" s="41" t="s">
        <v>136</v>
      </c>
      <c r="D17" s="41" t="s">
        <v>136</v>
      </c>
      <c r="E17" s="42"/>
      <c r="G17" s="25"/>
      <c r="H17" s="3"/>
      <c r="I17" s="3"/>
      <c r="J17" s="3"/>
      <c r="K17" s="3"/>
    </row>
    <row r="18" spans="1:11" ht="13.5" thickBot="1">
      <c r="A18" s="36"/>
      <c r="B18" s="40"/>
      <c r="C18" s="41"/>
      <c r="D18" s="41"/>
      <c r="E18" s="54"/>
    </row>
    <row r="19" spans="1:11" ht="13.5" thickTop="1">
      <c r="A19" s="31" t="s">
        <v>24</v>
      </c>
      <c r="B19" s="31"/>
      <c r="C19" s="31"/>
      <c r="D19" s="31"/>
      <c r="E19" s="31"/>
    </row>
    <row r="20" spans="1:11">
      <c r="A20" s="36" t="s">
        <v>3</v>
      </c>
      <c r="B20" s="37" t="s">
        <v>71</v>
      </c>
      <c r="C20" s="38" t="s">
        <v>72</v>
      </c>
      <c r="D20" s="38" t="s">
        <v>74</v>
      </c>
      <c r="E20" s="39"/>
    </row>
    <row r="21" spans="1:11">
      <c r="A21" s="36" t="s">
        <v>4</v>
      </c>
      <c r="B21" s="40" t="s">
        <v>72</v>
      </c>
      <c r="C21" s="41" t="s">
        <v>75</v>
      </c>
      <c r="D21" s="41" t="s">
        <v>75</v>
      </c>
      <c r="E21" s="42"/>
    </row>
    <row r="22" spans="1:11">
      <c r="A22" s="36" t="s">
        <v>5</v>
      </c>
      <c r="B22" s="40" t="s">
        <v>76</v>
      </c>
      <c r="C22" s="41" t="s">
        <v>77</v>
      </c>
      <c r="D22" s="41" t="s">
        <v>78</v>
      </c>
      <c r="E22" s="42"/>
    </row>
    <row r="23" spans="1:11" ht="25.5">
      <c r="A23" s="36" t="s">
        <v>30</v>
      </c>
      <c r="B23" s="43" t="s">
        <v>139</v>
      </c>
      <c r="C23" s="44" t="s">
        <v>85</v>
      </c>
      <c r="D23" s="44" t="s">
        <v>87</v>
      </c>
      <c r="E23" s="45"/>
    </row>
    <row r="24" spans="1:11" ht="38.25">
      <c r="A24" s="36" t="s">
        <v>6</v>
      </c>
      <c r="B24" s="40" t="s">
        <v>137</v>
      </c>
      <c r="C24" s="38" t="s">
        <v>86</v>
      </c>
      <c r="D24" s="38" t="s">
        <v>124</v>
      </c>
      <c r="E24" s="39"/>
    </row>
    <row r="25" spans="1:11">
      <c r="A25" s="36" t="s">
        <v>2</v>
      </c>
      <c r="B25" s="40"/>
      <c r="C25" s="41"/>
      <c r="D25" s="41"/>
      <c r="E25" s="42"/>
    </row>
    <row r="26" spans="1:11">
      <c r="A26" s="36"/>
      <c r="B26" s="40"/>
      <c r="C26" s="41"/>
      <c r="D26" s="41"/>
      <c r="E26" s="46"/>
    </row>
    <row r="27" spans="1:11" ht="13.7" customHeight="1">
      <c r="A27" s="12"/>
      <c r="B27" s="12"/>
      <c r="C27" s="12"/>
      <c r="D27" s="12"/>
      <c r="E27" s="12"/>
    </row>
    <row r="28" spans="1:11" ht="28.7" customHeight="1" thickBot="1">
      <c r="A28" s="11" t="s">
        <v>59</v>
      </c>
      <c r="B28" s="11" t="str">
        <f>A8</f>
        <v>Premium</v>
      </c>
      <c r="C28" s="11" t="s">
        <v>133</v>
      </c>
      <c r="D28" s="11" t="s">
        <v>134</v>
      </c>
      <c r="E28" s="11" t="s">
        <v>141</v>
      </c>
      <c r="F28" s="4"/>
    </row>
    <row r="29" spans="1:11" ht="13.5" thickTop="1">
      <c r="A29" s="31" t="s">
        <v>14</v>
      </c>
      <c r="B29" s="31"/>
      <c r="C29" s="31"/>
      <c r="D29" s="31"/>
      <c r="E29" s="31"/>
    </row>
    <row r="30" spans="1:11">
      <c r="A30" s="36" t="s">
        <v>35</v>
      </c>
      <c r="B30" s="37">
        <v>5</v>
      </c>
      <c r="C30" s="38">
        <v>8</v>
      </c>
      <c r="D30" s="38">
        <v>7</v>
      </c>
      <c r="E30" s="39"/>
    </row>
    <row r="31" spans="1:11">
      <c r="A31" s="36" t="s">
        <v>36</v>
      </c>
      <c r="B31" s="37">
        <v>2</v>
      </c>
      <c r="C31" s="71">
        <v>4.5</v>
      </c>
      <c r="D31" s="38">
        <v>4</v>
      </c>
      <c r="E31" s="39"/>
      <c r="G31" s="25"/>
      <c r="H31" s="3"/>
      <c r="I31" s="3"/>
    </row>
    <row r="32" spans="1:11" ht="13.5" thickBot="1">
      <c r="A32" s="36"/>
      <c r="B32" s="40"/>
      <c r="C32" s="41"/>
      <c r="D32" s="41"/>
      <c r="E32" s="42"/>
    </row>
    <row r="33" spans="1:5" s="1" customFormat="1" ht="13.5" thickTop="1">
      <c r="A33" s="31" t="s">
        <v>53</v>
      </c>
      <c r="B33" s="31"/>
      <c r="C33" s="31"/>
      <c r="D33" s="31"/>
      <c r="E33" s="31"/>
    </row>
    <row r="34" spans="1:5" s="1" customFormat="1">
      <c r="A34" s="36" t="s">
        <v>37</v>
      </c>
      <c r="B34" s="37" t="s">
        <v>83</v>
      </c>
      <c r="C34" s="38" t="s">
        <v>80</v>
      </c>
      <c r="D34" s="38" t="s">
        <v>81</v>
      </c>
      <c r="E34" s="39"/>
    </row>
    <row r="35" spans="1:5" s="1" customFormat="1" ht="25.5">
      <c r="A35" s="36" t="s">
        <v>12</v>
      </c>
      <c r="B35" s="40" t="s">
        <v>84</v>
      </c>
      <c r="C35" s="41" t="s">
        <v>79</v>
      </c>
      <c r="D35" s="41" t="s">
        <v>82</v>
      </c>
      <c r="E35" s="42"/>
    </row>
    <row r="36" spans="1:5" s="1" customFormat="1">
      <c r="A36" s="36" t="s">
        <v>38</v>
      </c>
      <c r="B36" s="40"/>
      <c r="C36" s="41"/>
      <c r="D36" s="41"/>
      <c r="E36" s="42"/>
    </row>
    <row r="37" spans="1:5" s="1" customFormat="1">
      <c r="A37" s="36" t="s">
        <v>12</v>
      </c>
      <c r="B37" s="43"/>
      <c r="C37" s="70"/>
      <c r="D37" s="70"/>
      <c r="E37" s="45"/>
    </row>
    <row r="38" spans="1:5" s="1" customFormat="1" ht="12.75" customHeight="1">
      <c r="A38" s="36" t="s">
        <v>39</v>
      </c>
      <c r="B38" s="37"/>
      <c r="C38" s="38"/>
      <c r="D38" s="38"/>
      <c r="E38" s="39"/>
    </row>
    <row r="39" spans="1:5" s="1" customFormat="1" ht="12.75" customHeight="1">
      <c r="A39" s="36" t="s">
        <v>12</v>
      </c>
      <c r="B39" s="40"/>
      <c r="C39" s="41"/>
      <c r="D39" s="41"/>
      <c r="E39" s="42"/>
    </row>
    <row r="40" spans="1:5" s="1" customFormat="1" ht="12.75" customHeight="1" thickBot="1">
      <c r="A40" s="36"/>
      <c r="B40" s="40"/>
      <c r="C40" s="41"/>
      <c r="D40" s="41"/>
      <c r="E40" s="42"/>
    </row>
    <row r="41" spans="1:5" s="1" customFormat="1" ht="13.5" thickTop="1">
      <c r="A41" s="31" t="s">
        <v>54</v>
      </c>
      <c r="B41" s="31"/>
      <c r="C41" s="31"/>
      <c r="D41" s="31"/>
      <c r="E41" s="31"/>
    </row>
    <row r="42" spans="1:5" s="1" customFormat="1" ht="12.75" customHeight="1">
      <c r="A42" s="36" t="s">
        <v>13</v>
      </c>
      <c r="B42" s="37" t="s">
        <v>75</v>
      </c>
      <c r="C42" s="38" t="s">
        <v>72</v>
      </c>
      <c r="D42" s="38" t="s">
        <v>73</v>
      </c>
      <c r="E42" s="39"/>
    </row>
    <row r="43" spans="1:5" s="1" customFormat="1" ht="25.5">
      <c r="A43" s="36" t="s">
        <v>25</v>
      </c>
      <c r="B43" s="40" t="s">
        <v>88</v>
      </c>
      <c r="C43" s="41" t="s">
        <v>90</v>
      </c>
      <c r="D43" s="41" t="s">
        <v>89</v>
      </c>
      <c r="E43" s="42"/>
    </row>
    <row r="44" spans="1:5" s="1" customFormat="1" ht="51">
      <c r="A44" s="36" t="s">
        <v>23</v>
      </c>
      <c r="B44" s="40" t="s">
        <v>91</v>
      </c>
      <c r="C44" s="41" t="s">
        <v>145</v>
      </c>
      <c r="D44" s="41" t="s">
        <v>92</v>
      </c>
      <c r="E44" s="42"/>
    </row>
    <row r="45" spans="1:5" s="1" customFormat="1" ht="12.75" customHeight="1">
      <c r="A45" s="36" t="s">
        <v>50</v>
      </c>
      <c r="B45" s="53" t="s">
        <v>93</v>
      </c>
      <c r="C45" s="44" t="s">
        <v>93</v>
      </c>
      <c r="D45" s="44" t="s">
        <v>93</v>
      </c>
      <c r="E45" s="45"/>
    </row>
    <row r="46" spans="1:5" s="1" customFormat="1" ht="12.75" customHeight="1">
      <c r="A46" s="36" t="s">
        <v>51</v>
      </c>
      <c r="B46" s="37" t="s">
        <v>94</v>
      </c>
      <c r="C46" s="38" t="s">
        <v>95</v>
      </c>
      <c r="D46" s="38" t="s">
        <v>96</v>
      </c>
      <c r="E46" s="39"/>
    </row>
    <row r="47" spans="1:5" s="1" customFormat="1" ht="38.25">
      <c r="A47" s="36" t="str">
        <f>"Relationship to other products within " &amp;  B8</f>
        <v>Relationship to other products within CONTOSO</v>
      </c>
      <c r="B47" s="40" t="s">
        <v>97</v>
      </c>
      <c r="C47" s="41" t="s">
        <v>93</v>
      </c>
      <c r="D47" s="41" t="s">
        <v>93</v>
      </c>
      <c r="E47" s="42"/>
    </row>
    <row r="48" spans="1:5" s="1" customFormat="1" ht="12.75" customHeight="1" thickBot="1">
      <c r="A48" s="36"/>
      <c r="B48" s="40"/>
      <c r="C48" s="41"/>
      <c r="D48" s="41"/>
      <c r="E48" s="42"/>
    </row>
    <row r="49" spans="1:14" ht="13.5" thickTop="1">
      <c r="A49" s="31" t="s">
        <v>55</v>
      </c>
      <c r="B49" s="31"/>
      <c r="C49" s="31"/>
      <c r="D49" s="31"/>
      <c r="E49" s="31"/>
    </row>
    <row r="50" spans="1:14" ht="32.85" customHeight="1">
      <c r="A50" s="36" t="s">
        <v>146</v>
      </c>
      <c r="B50" s="37"/>
      <c r="C50" s="38"/>
      <c r="D50" s="38"/>
      <c r="E50" s="39"/>
    </row>
    <row r="51" spans="1:14" ht="12.75" customHeight="1">
      <c r="A51" s="36" t="s">
        <v>40</v>
      </c>
      <c r="B51" s="37">
        <v>12000000</v>
      </c>
      <c r="C51" s="38">
        <v>7000000</v>
      </c>
      <c r="D51" s="38">
        <v>9000000</v>
      </c>
      <c r="E51" s="42"/>
      <c r="G51" s="25"/>
      <c r="H51" s="3"/>
    </row>
    <row r="52" spans="1:14" ht="12.75" customHeight="1" thickBot="1">
      <c r="A52" s="36"/>
      <c r="B52" s="40"/>
      <c r="C52" s="41"/>
      <c r="D52" s="41"/>
      <c r="E52" s="42"/>
    </row>
    <row r="53" spans="1:14" ht="13.5" thickTop="1">
      <c r="A53" s="31" t="s">
        <v>41</v>
      </c>
      <c r="B53" s="31"/>
      <c r="C53" s="31"/>
      <c r="D53" s="31"/>
      <c r="E53" s="31"/>
    </row>
    <row r="54" spans="1:14" ht="12.75" customHeight="1">
      <c r="A54" s="36" t="s">
        <v>31</v>
      </c>
      <c r="B54" s="49">
        <v>0.15</v>
      </c>
      <c r="C54" s="50">
        <v>0.08</v>
      </c>
      <c r="D54" s="50">
        <v>0.22</v>
      </c>
      <c r="E54" s="51"/>
      <c r="G54" s="25"/>
      <c r="H54" s="3"/>
    </row>
    <row r="55" spans="1:14" ht="12.75" customHeight="1">
      <c r="A55" s="36" t="s">
        <v>32</v>
      </c>
      <c r="B55" s="37">
        <f>B51*(B54*3)</f>
        <v>5399999.9999999991</v>
      </c>
      <c r="C55" s="37">
        <f>C51*(C54*3)</f>
        <v>1680000</v>
      </c>
      <c r="D55" s="37">
        <f>D51*(D54*3)</f>
        <v>5940000</v>
      </c>
      <c r="E55" s="39"/>
      <c r="G55" s="25"/>
      <c r="H55" s="3"/>
    </row>
    <row r="56" spans="1:14" ht="12.75" customHeight="1">
      <c r="A56" s="36" t="s">
        <v>19</v>
      </c>
      <c r="B56" s="55">
        <v>0.45</v>
      </c>
      <c r="C56" s="56">
        <v>0.28000000000000003</v>
      </c>
      <c r="D56" s="56">
        <v>0.15</v>
      </c>
      <c r="E56" s="57">
        <v>0.05</v>
      </c>
      <c r="G56" s="25"/>
      <c r="H56" s="3"/>
      <c r="I56" s="3"/>
      <c r="J56" s="3"/>
      <c r="K56" s="3"/>
      <c r="L56" s="3"/>
      <c r="M56" s="3"/>
      <c r="N56" s="3"/>
    </row>
    <row r="57" spans="1:14" ht="12.75" customHeight="1">
      <c r="A57" s="36" t="s">
        <v>20</v>
      </c>
      <c r="B57" s="58">
        <v>12000</v>
      </c>
      <c r="C57" s="59">
        <v>25000</v>
      </c>
      <c r="D57" s="59">
        <v>18000</v>
      </c>
      <c r="E57" s="60"/>
      <c r="G57" s="25"/>
      <c r="H57" s="3"/>
    </row>
    <row r="58" spans="1:14" ht="12.75" customHeight="1">
      <c r="A58" s="36" t="s">
        <v>56</v>
      </c>
      <c r="B58" s="37">
        <v>3600</v>
      </c>
      <c r="C58" s="38">
        <v>5000</v>
      </c>
      <c r="D58" s="38">
        <v>4200</v>
      </c>
      <c r="E58" s="39"/>
      <c r="G58" s="25"/>
      <c r="H58" s="3"/>
    </row>
    <row r="59" spans="1:14" ht="12.75" customHeight="1">
      <c r="A59" s="36" t="s">
        <v>57</v>
      </c>
      <c r="B59" s="37">
        <v>3000000</v>
      </c>
      <c r="C59" s="38">
        <v>6000000</v>
      </c>
      <c r="D59" s="38">
        <v>8500000</v>
      </c>
      <c r="E59" s="39"/>
      <c r="G59" s="25"/>
      <c r="H59" s="3"/>
    </row>
    <row r="60" spans="1:14" ht="12.75" customHeight="1">
      <c r="A60" s="36" t="s">
        <v>58</v>
      </c>
      <c r="B60" s="37">
        <v>9000000</v>
      </c>
      <c r="C60" s="38">
        <v>1000000</v>
      </c>
      <c r="D60" s="38">
        <v>500000</v>
      </c>
      <c r="E60" s="39"/>
      <c r="G60" s="25"/>
      <c r="H60" s="3"/>
    </row>
    <row r="61" spans="1:14" ht="12.75" customHeight="1">
      <c r="A61" s="36" t="s">
        <v>21</v>
      </c>
      <c r="B61" s="61">
        <v>0.40100000000000002</v>
      </c>
      <c r="C61" s="62">
        <v>0.48299999999999998</v>
      </c>
      <c r="D61" s="62">
        <v>0.53100000000000003</v>
      </c>
      <c r="E61" s="63"/>
      <c r="G61" s="25"/>
      <c r="H61" s="3"/>
    </row>
    <row r="62" spans="1:14" ht="12.75" customHeight="1">
      <c r="A62" s="36" t="s">
        <v>22</v>
      </c>
      <c r="B62" s="64">
        <v>0.252</v>
      </c>
      <c r="C62" s="65">
        <v>0.3</v>
      </c>
      <c r="D62" s="65">
        <v>0.32</v>
      </c>
      <c r="E62" s="66"/>
      <c r="G62" s="25"/>
      <c r="H62" s="3"/>
    </row>
    <row r="63" spans="1:14" ht="12.75" customHeight="1">
      <c r="A63" s="36" t="s">
        <v>2</v>
      </c>
      <c r="B63" s="40"/>
      <c r="C63" s="41"/>
      <c r="D63" s="41"/>
      <c r="E63" s="42"/>
    </row>
    <row r="64" spans="1:14" ht="12.75" customHeight="1">
      <c r="A64" s="36" t="s">
        <v>2</v>
      </c>
      <c r="B64" s="40"/>
      <c r="C64" s="41"/>
      <c r="D64" s="41"/>
      <c r="E64" s="42"/>
    </row>
    <row r="65" spans="1:8" ht="12.75" customHeight="1" thickBot="1">
      <c r="A65" s="36"/>
      <c r="B65" s="67"/>
      <c r="C65" s="68"/>
      <c r="D65" s="68"/>
      <c r="E65" s="69"/>
      <c r="G65" s="1"/>
    </row>
    <row r="66" spans="1:8" ht="12.75" customHeight="1" thickTop="1">
      <c r="A66" s="31" t="s">
        <v>15</v>
      </c>
      <c r="B66" s="31"/>
      <c r="C66" s="31"/>
      <c r="D66" s="31"/>
      <c r="E66" s="31"/>
      <c r="G66" s="25"/>
      <c r="H66" s="3"/>
    </row>
    <row r="67" spans="1:8" ht="12.75" customHeight="1">
      <c r="A67" s="36" t="s">
        <v>8</v>
      </c>
      <c r="B67" s="43" t="s">
        <v>103</v>
      </c>
      <c r="C67" s="70" t="s">
        <v>104</v>
      </c>
      <c r="D67" s="70" t="s">
        <v>104</v>
      </c>
      <c r="E67" s="42"/>
      <c r="G67" s="1"/>
    </row>
    <row r="68" spans="1:8" ht="12.75" customHeight="1">
      <c r="A68" s="36" t="s">
        <v>11</v>
      </c>
      <c r="B68" s="40" t="s">
        <v>98</v>
      </c>
      <c r="C68" s="41" t="s">
        <v>98</v>
      </c>
      <c r="D68" s="41" t="s">
        <v>99</v>
      </c>
      <c r="E68" s="42"/>
      <c r="G68" s="1"/>
    </row>
    <row r="69" spans="1:8" ht="38.25">
      <c r="A69" s="36" t="s">
        <v>10</v>
      </c>
      <c r="B69" s="53" t="s">
        <v>125</v>
      </c>
      <c r="C69" s="41" t="s">
        <v>126</v>
      </c>
      <c r="D69" s="41" t="s">
        <v>127</v>
      </c>
      <c r="E69" s="36"/>
      <c r="G69" s="1"/>
    </row>
    <row r="70" spans="1:8" ht="25.5">
      <c r="A70" s="36" t="s">
        <v>9</v>
      </c>
      <c r="B70" s="37" t="s">
        <v>100</v>
      </c>
      <c r="C70" s="38" t="s">
        <v>101</v>
      </c>
      <c r="D70" s="38" t="s">
        <v>102</v>
      </c>
      <c r="E70" s="39"/>
      <c r="G70" s="1"/>
    </row>
    <row r="71" spans="1:8" ht="12.75" customHeight="1" thickBot="1">
      <c r="A71" s="36"/>
      <c r="B71" s="40"/>
      <c r="C71" s="41"/>
      <c r="D71" s="41"/>
      <c r="E71" s="42"/>
      <c r="G71" s="1"/>
    </row>
    <row r="72" spans="1:8" ht="13.5" thickTop="1">
      <c r="A72" s="31" t="s">
        <v>128</v>
      </c>
      <c r="B72" s="31"/>
      <c r="C72" s="31"/>
      <c r="D72" s="31"/>
      <c r="E72" s="31"/>
      <c r="G72" s="1"/>
    </row>
    <row r="73" spans="1:8" ht="38.25">
      <c r="A73" s="36" t="s">
        <v>28</v>
      </c>
      <c r="B73" s="37" t="s">
        <v>129</v>
      </c>
      <c r="C73" s="38" t="s">
        <v>105</v>
      </c>
      <c r="D73" s="38" t="s">
        <v>106</v>
      </c>
      <c r="E73" s="39"/>
      <c r="G73" s="1"/>
    </row>
    <row r="74" spans="1:8" ht="25.5">
      <c r="A74" s="36" t="s">
        <v>26</v>
      </c>
      <c r="B74" s="40" t="s">
        <v>113</v>
      </c>
      <c r="C74" s="41" t="s">
        <v>107</v>
      </c>
      <c r="D74" s="41" t="s">
        <v>112</v>
      </c>
      <c r="E74" s="42"/>
      <c r="G74" s="1"/>
    </row>
    <row r="75" spans="1:8" ht="25.5">
      <c r="A75" s="36" t="s">
        <v>16</v>
      </c>
      <c r="B75" s="40" t="s">
        <v>88</v>
      </c>
      <c r="C75" s="41" t="s">
        <v>107</v>
      </c>
      <c r="D75" s="41" t="s">
        <v>73</v>
      </c>
      <c r="E75" s="42"/>
      <c r="G75" s="1"/>
    </row>
    <row r="76" spans="1:8" ht="25.5">
      <c r="A76" s="36" t="s">
        <v>17</v>
      </c>
      <c r="B76" s="40" t="s">
        <v>114</v>
      </c>
      <c r="C76" s="41" t="s">
        <v>108</v>
      </c>
      <c r="D76" s="70" t="s">
        <v>130</v>
      </c>
      <c r="E76" s="45"/>
      <c r="G76" s="1"/>
    </row>
    <row r="77" spans="1:8" ht="25.5">
      <c r="A77" s="36" t="s">
        <v>18</v>
      </c>
      <c r="B77" s="37" t="s">
        <v>111</v>
      </c>
      <c r="C77" s="38" t="s">
        <v>109</v>
      </c>
      <c r="D77" s="38" t="s">
        <v>110</v>
      </c>
      <c r="E77" s="39"/>
      <c r="G77" s="1"/>
    </row>
    <row r="78" spans="1:8" ht="12.75" customHeight="1">
      <c r="A78" s="36" t="s">
        <v>2</v>
      </c>
      <c r="B78" s="40"/>
      <c r="C78" s="41"/>
      <c r="D78" s="41"/>
      <c r="E78" s="42"/>
      <c r="G78" s="1"/>
    </row>
    <row r="79" spans="1:8" ht="12.75" customHeight="1" thickBot="1">
      <c r="A79" s="36"/>
      <c r="B79" s="40"/>
      <c r="C79" s="41"/>
      <c r="D79" s="41"/>
      <c r="E79" s="42"/>
      <c r="G79" s="1"/>
    </row>
    <row r="80" spans="1:8" ht="13.5" thickTop="1">
      <c r="A80" s="31" t="s">
        <v>49</v>
      </c>
      <c r="B80" s="31"/>
      <c r="C80" s="31"/>
      <c r="D80" s="31"/>
      <c r="E80" s="31"/>
      <c r="G80" s="1"/>
    </row>
    <row r="81" spans="1:5" s="1" customFormat="1" ht="76.5">
      <c r="A81" s="36" t="s">
        <v>3</v>
      </c>
      <c r="B81" s="37" t="s">
        <v>115</v>
      </c>
      <c r="C81" s="38" t="s">
        <v>131</v>
      </c>
      <c r="D81" s="38" t="s">
        <v>116</v>
      </c>
      <c r="E81" s="39"/>
    </row>
    <row r="82" spans="1:5" s="1" customFormat="1" ht="89.25">
      <c r="A82" s="36" t="s">
        <v>4</v>
      </c>
      <c r="B82" s="40" t="s">
        <v>117</v>
      </c>
      <c r="C82" s="41" t="s">
        <v>132</v>
      </c>
      <c r="D82" s="41" t="s">
        <v>138</v>
      </c>
      <c r="E82" s="42"/>
    </row>
    <row r="83" spans="1:5" s="1" customFormat="1" ht="12.75" customHeight="1">
      <c r="A83" s="36" t="s">
        <v>5</v>
      </c>
      <c r="B83" s="40" t="s">
        <v>76</v>
      </c>
      <c r="C83" s="41" t="s">
        <v>77</v>
      </c>
      <c r="D83" s="41" t="s">
        <v>78</v>
      </c>
      <c r="E83" s="42"/>
    </row>
    <row r="84" spans="1:5" s="1" customFormat="1" ht="63.75">
      <c r="A84" s="36" t="s">
        <v>29</v>
      </c>
      <c r="B84" s="53" t="s">
        <v>120</v>
      </c>
      <c r="C84" s="44" t="s">
        <v>121</v>
      </c>
      <c r="D84" s="44" t="s">
        <v>122</v>
      </c>
      <c r="E84" s="45"/>
    </row>
    <row r="85" spans="1:5" s="1" customFormat="1" ht="102">
      <c r="A85" s="36" t="s">
        <v>6</v>
      </c>
      <c r="B85" s="40" t="s">
        <v>118</v>
      </c>
      <c r="C85" s="38" t="s">
        <v>119</v>
      </c>
      <c r="D85" s="38" t="s">
        <v>147</v>
      </c>
      <c r="E85" s="39"/>
    </row>
    <row r="86" spans="1:5" s="1" customFormat="1" ht="12.75" customHeight="1">
      <c r="A86" s="36" t="s">
        <v>2</v>
      </c>
      <c r="B86" s="40"/>
      <c r="C86" s="41"/>
      <c r="D86" s="41"/>
      <c r="E86" s="42"/>
    </row>
    <row r="87" spans="1:5" s="1" customFormat="1" ht="12.75" customHeight="1" thickBot="1">
      <c r="A87" s="72"/>
      <c r="B87" s="73"/>
      <c r="C87" s="74"/>
      <c r="D87" s="74"/>
      <c r="E87" s="75"/>
    </row>
    <row r="88" spans="1:5" s="1" customFormat="1" ht="13.5" thickTop="1">
      <c r="A88" s="2"/>
    </row>
    <row r="91" spans="1:5" s="1" customFormat="1" ht="13.5" thickBot="1">
      <c r="A91" s="35" t="s">
        <v>42</v>
      </c>
      <c r="B91" s="35"/>
    </row>
    <row r="92" spans="1:5" s="1" customFormat="1" ht="15" customHeight="1" thickTop="1" thickBot="1">
      <c r="A92" s="32" t="s">
        <v>43</v>
      </c>
      <c r="B92" s="33"/>
    </row>
    <row r="93" spans="1:5" s="1" customFormat="1" ht="14.25" thickTop="1" thickBot="1">
      <c r="A93" s="32" t="str">
        <f>A8</f>
        <v>Premium</v>
      </c>
      <c r="B93" s="33">
        <f>B56</f>
        <v>0.45</v>
      </c>
    </row>
    <row r="94" spans="1:5" s="1" customFormat="1" ht="14.25" thickTop="1" thickBot="1">
      <c r="A94" s="32" t="str">
        <f>C28</f>
        <v>DELUXE</v>
      </c>
      <c r="B94" s="33">
        <f>C56</f>
        <v>0.28000000000000003</v>
      </c>
      <c r="C94" s="5"/>
      <c r="E94" s="5"/>
    </row>
    <row r="95" spans="1:5" s="1" customFormat="1" ht="14.25" thickTop="1" thickBot="1">
      <c r="A95" s="32" t="str">
        <f>D28</f>
        <v>BESPOKE</v>
      </c>
      <c r="B95" s="33">
        <f>D56</f>
        <v>0.15</v>
      </c>
    </row>
    <row r="96" spans="1:5" s="1" customFormat="1" ht="14.25" thickTop="1" thickBot="1">
      <c r="A96" s="32" t="str">
        <f>E28</f>
        <v>COMPETITOR PRODUCT 3</v>
      </c>
      <c r="B96" s="34">
        <f>E56</f>
        <v>0.05</v>
      </c>
    </row>
    <row r="97" spans="1:2" s="1" customFormat="1" ht="14.25" thickTop="1" thickBot="1">
      <c r="A97" s="32" t="s">
        <v>2</v>
      </c>
      <c r="B97" s="34">
        <f>1-B93-B94-B95-B96</f>
        <v>7.0000000000000021E-2</v>
      </c>
    </row>
    <row r="98" spans="1:2" s="1" customFormat="1" ht="14.25" thickTop="1" thickBot="1">
      <c r="A98" s="32"/>
      <c r="B98" s="33"/>
    </row>
    <row r="99" spans="1:2" s="1" customFormat="1" ht="14.25" thickTop="1" thickBot="1">
      <c r="A99" s="32" t="s">
        <v>44</v>
      </c>
      <c r="B99" s="33">
        <f>SUM(B93:B97)</f>
        <v>1</v>
      </c>
    </row>
    <row r="100" spans="1:2" s="1" customFormat="1" ht="13.5" thickTop="1">
      <c r="A100" s="2"/>
    </row>
  </sheetData>
  <mergeCells count="1">
    <mergeCell ref="A6:B6"/>
  </mergeCells>
  <phoneticPr fontId="0" type="noConversion"/>
  <dataValidations count="1">
    <dataValidation type="list" allowBlank="1" showInputMessage="1" showErrorMessage="1" sqref="B17:E17">
      <formula1>"Public, Private"</formula1>
    </dataValidation>
  </dataValidations>
  <pageMargins left="0.74803149606299213" right="0.74803149606299213" top="0.98425196850393704" bottom="0.98425196850393704" header="0.51181102362204722" footer="0.51181102362204722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theme="5" tint="0.39997558519241921"/>
  </sheetPr>
  <dimension ref="A1:B13"/>
  <sheetViews>
    <sheetView showGridLines="0" workbookViewId="0"/>
  </sheetViews>
  <sheetFormatPr defaultRowHeight="12.75"/>
  <cols>
    <col min="1" max="1" width="39.7109375" style="6" customWidth="1"/>
    <col min="2" max="2" width="39.85546875" style="6" customWidth="1"/>
    <col min="3" max="16384" width="9.140625" style="6"/>
  </cols>
  <sheetData>
    <row r="1" spans="1:2" ht="15">
      <c r="A1" s="9" t="str">
        <f>Premium!A1</f>
        <v>Contoso, Ltd.</v>
      </c>
    </row>
    <row r="2" spans="1:2">
      <c r="A2" s="14" t="str">
        <f>Premium!A2</f>
        <v>FISCAL YEAR 2007</v>
      </c>
    </row>
    <row r="3" spans="1:2">
      <c r="A3" s="14" t="str">
        <f>Premium!A3</f>
        <v>DATE PREPARED: 7/16/2008</v>
      </c>
    </row>
    <row r="4" spans="1:2">
      <c r="A4" s="14" t="str">
        <f>Premium!A4</f>
        <v>OWNER: Scott MacDonald</v>
      </c>
    </row>
    <row r="6" spans="1:2" ht="18.75">
      <c r="A6" s="77" t="s">
        <v>48</v>
      </c>
      <c r="B6" s="78"/>
    </row>
    <row r="7" spans="1:2" ht="13.5" customHeight="1">
      <c r="A7" s="79"/>
      <c r="B7" s="79"/>
    </row>
    <row r="8" spans="1:2" ht="28.7" customHeight="1" thickBot="1">
      <c r="A8" s="11" t="str">
        <f>Premium!A8</f>
        <v>Premium</v>
      </c>
      <c r="B8" s="15"/>
    </row>
    <row r="9" spans="1:2" ht="13.5" thickTop="1">
      <c r="A9" s="31" t="s">
        <v>45</v>
      </c>
      <c r="B9" s="31" t="s">
        <v>46</v>
      </c>
    </row>
    <row r="10" spans="1:2" ht="238.5" customHeight="1" thickBot="1">
      <c r="A10" s="36" t="str">
        <f>Premium!B81</f>
        <v>Great value for money; price competitive; large dealer network; extensive stock available</v>
      </c>
      <c r="B10" s="76" t="str">
        <f>Premium!B82</f>
        <v>Product warranty is one year; Reputation for unreliability in some customers</v>
      </c>
    </row>
    <row r="11" spans="1:2" ht="13.5" thickTop="1">
      <c r="A11" s="31" t="s">
        <v>29</v>
      </c>
      <c r="B11" s="31" t="s">
        <v>47</v>
      </c>
    </row>
    <row r="12" spans="1:2" ht="256.5" customHeight="1" thickBot="1">
      <c r="A12" s="91" t="str">
        <f>Premium!B84</f>
        <v>Launch new Premium-plus version of the product that allows for greater margins</v>
      </c>
      <c r="B12" s="92" t="str">
        <f>Premium!B85</f>
        <v>Fabrikam reduces the price on their premium widget, or starts discounting more heavily</v>
      </c>
    </row>
    <row r="13" spans="1:2" ht="13.5" thickTop="1"/>
  </sheetData>
  <phoneticPr fontId="1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>
    <tabColor theme="8" tint="0.39997558519241921"/>
  </sheetPr>
  <dimension ref="A1:B14"/>
  <sheetViews>
    <sheetView showGridLines="0" workbookViewId="0"/>
  </sheetViews>
  <sheetFormatPr defaultRowHeight="12.75"/>
  <cols>
    <col min="1" max="1" width="40.5703125" style="6" customWidth="1"/>
    <col min="2" max="2" width="41" style="6" customWidth="1"/>
    <col min="3" max="16384" width="9.140625" style="6"/>
  </cols>
  <sheetData>
    <row r="1" spans="1:2" ht="15">
      <c r="A1" s="9" t="str">
        <f>Premium!A1</f>
        <v>Contoso, Ltd.</v>
      </c>
    </row>
    <row r="2" spans="1:2">
      <c r="A2" s="14" t="str">
        <f>Premium!A2</f>
        <v>FISCAL YEAR 2007</v>
      </c>
    </row>
    <row r="3" spans="1:2">
      <c r="A3" s="14" t="str">
        <f>Premium!A3</f>
        <v>DATE PREPARED: 7/16/2008</v>
      </c>
    </row>
    <row r="4" spans="1:2">
      <c r="A4" s="14" t="str">
        <f>Premium!A4</f>
        <v>OWNER: Scott MacDonald</v>
      </c>
    </row>
    <row r="6" spans="1:2" ht="18.75">
      <c r="A6" s="77" t="s">
        <v>48</v>
      </c>
    </row>
    <row r="7" spans="1:2" ht="13.5" customHeight="1">
      <c r="A7" s="79"/>
      <c r="B7" s="79"/>
    </row>
    <row r="8" spans="1:2" ht="18" customHeight="1">
      <c r="A8" s="18" t="str">
        <f>Premium!C28</f>
        <v>DELUXE</v>
      </c>
      <c r="B8" s="11"/>
    </row>
    <row r="9" spans="1:2" ht="18" customHeight="1" thickBot="1">
      <c r="A9" s="21" t="str">
        <f>Premium!C8</f>
        <v>FABRIKAM</v>
      </c>
      <c r="B9" s="11"/>
    </row>
    <row r="10" spans="1:2" ht="13.5" thickTop="1">
      <c r="A10" s="31" t="s">
        <v>45</v>
      </c>
      <c r="B10" s="31" t="s">
        <v>46</v>
      </c>
    </row>
    <row r="11" spans="1:2" ht="256.5" customHeight="1" thickBot="1">
      <c r="A11" s="80" t="str">
        <f>Premium!C81</f>
        <v>High quality, great return policy; durable product backed by a 5-year guarantee</v>
      </c>
      <c r="B11" s="81" t="str">
        <f>Premium!C82</f>
        <v>Price--limited discounts; limited availability in some regions</v>
      </c>
    </row>
    <row r="12" spans="1:2" ht="13.5" thickTop="1">
      <c r="A12" s="31" t="s">
        <v>29</v>
      </c>
      <c r="B12" s="31" t="s">
        <v>47</v>
      </c>
    </row>
    <row r="13" spans="1:2" ht="274.5" customHeight="1" thickBot="1">
      <c r="A13" s="89" t="str">
        <f>Premium!C84</f>
        <v>Capture more large customers who are looking for quality, durable widgets.</v>
      </c>
      <c r="B13" s="90" t="str">
        <f>Premium!C85</f>
        <v xml:space="preserve">Customers are more price sensitive, requiring more discounts or lower prices.  </v>
      </c>
    </row>
    <row r="14" spans="1:2" ht="13.5" thickTop="1"/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>
    <tabColor theme="4" tint="0.59999389629810485"/>
  </sheetPr>
  <dimension ref="A1:B14"/>
  <sheetViews>
    <sheetView showGridLines="0" workbookViewId="0"/>
  </sheetViews>
  <sheetFormatPr defaultRowHeight="12.75"/>
  <cols>
    <col min="1" max="1" width="40.5703125" style="6" customWidth="1"/>
    <col min="2" max="2" width="41" style="6" customWidth="1"/>
    <col min="3" max="16384" width="9.140625" style="6"/>
  </cols>
  <sheetData>
    <row r="1" spans="1:2" ht="15">
      <c r="A1" s="13" t="str">
        <f>Premium!A1</f>
        <v>Contoso, Ltd.</v>
      </c>
      <c r="B1" s="15"/>
    </row>
    <row r="2" spans="1:2">
      <c r="A2" s="16" t="str">
        <f>Premium!A2</f>
        <v>FISCAL YEAR 2007</v>
      </c>
      <c r="B2" s="15"/>
    </row>
    <row r="3" spans="1:2">
      <c r="A3" s="17" t="str">
        <f>Premium!A3</f>
        <v>DATE PREPARED: 7/16/2008</v>
      </c>
      <c r="B3" s="15"/>
    </row>
    <row r="4" spans="1:2">
      <c r="A4" s="16" t="str">
        <f>Premium!A4</f>
        <v>OWNER: Scott MacDonald</v>
      </c>
      <c r="B4" s="15"/>
    </row>
    <row r="5" spans="1:2">
      <c r="A5" s="15"/>
      <c r="B5" s="15"/>
    </row>
    <row r="6" spans="1:2" ht="18.75">
      <c r="A6" s="82" t="s">
        <v>48</v>
      </c>
      <c r="B6" s="86"/>
    </row>
    <row r="7" spans="1:2" ht="13.5" customHeight="1">
      <c r="A7" s="83"/>
      <c r="B7" s="83"/>
    </row>
    <row r="8" spans="1:2" ht="18" customHeight="1">
      <c r="A8" s="18" t="str">
        <f>Premium!D28</f>
        <v>BESPOKE</v>
      </c>
      <c r="B8" s="11"/>
    </row>
    <row r="9" spans="1:2" ht="18" customHeight="1" thickBot="1">
      <c r="A9" s="22" t="str">
        <f>Premium!D8</f>
        <v>NORTHWIND TRADERS</v>
      </c>
      <c r="B9" s="11"/>
    </row>
    <row r="10" spans="1:2" ht="13.5" thickTop="1">
      <c r="A10" s="31" t="s">
        <v>45</v>
      </c>
      <c r="B10" s="31" t="s">
        <v>46</v>
      </c>
    </row>
    <row r="11" spans="1:2" ht="256.5" customHeight="1" thickBot="1">
      <c r="A11" s="84" t="str">
        <f>Premium!D81</f>
        <v>Highly customized to each customer's needs; excellent customer service</v>
      </c>
      <c r="B11" s="85" t="str">
        <f>Premium!D82</f>
        <v>Price--no discounts; unable to support national accounts due to West-coast-only presence</v>
      </c>
    </row>
    <row r="12" spans="1:2" ht="13.5" thickTop="1">
      <c r="A12" s="31" t="s">
        <v>29</v>
      </c>
      <c r="B12" s="31" t="s">
        <v>47</v>
      </c>
    </row>
    <row r="13" spans="1:2" ht="274.5" customHeight="1" thickBot="1">
      <c r="A13" s="87" t="str">
        <f>Premium!D84</f>
        <v>More and more customers are looking for customized solutions.</v>
      </c>
      <c r="B13" s="88" t="str">
        <f>Premium!D85</f>
        <v>Unable to expand beyond the West coast, which limits appeal to larger West-coast based companies with East-coast operations.</v>
      </c>
    </row>
    <row r="14" spans="1:2" ht="13.5" thickTop="1"/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>
    <tabColor theme="5"/>
  </sheetPr>
  <dimension ref="A1:B14"/>
  <sheetViews>
    <sheetView showGridLines="0" workbookViewId="0"/>
  </sheetViews>
  <sheetFormatPr defaultRowHeight="12.75"/>
  <cols>
    <col min="1" max="1" width="40.5703125" style="6" customWidth="1"/>
    <col min="2" max="2" width="41" style="6" customWidth="1"/>
    <col min="3" max="16384" width="9.140625" style="6"/>
  </cols>
  <sheetData>
    <row r="1" spans="1:2" ht="15">
      <c r="A1" s="9" t="str">
        <f>Premium!A1</f>
        <v>Contoso, Ltd.</v>
      </c>
    </row>
    <row r="2" spans="1:2">
      <c r="A2" s="7" t="str">
        <f>Premium!A2</f>
        <v>FISCAL YEAR 2007</v>
      </c>
    </row>
    <row r="3" spans="1:2">
      <c r="A3" s="8" t="str">
        <f>Premium!A3</f>
        <v>DATE PREPARED: 7/16/2008</v>
      </c>
    </row>
    <row r="4" spans="1:2">
      <c r="A4" s="7" t="str">
        <f>Premium!A4</f>
        <v>OWNER: Scott MacDonald</v>
      </c>
    </row>
    <row r="6" spans="1:2" ht="18.75">
      <c r="A6" s="77" t="s">
        <v>48</v>
      </c>
    </row>
    <row r="7" spans="1:2" ht="13.5" customHeight="1">
      <c r="A7" s="79"/>
      <c r="B7" s="79"/>
    </row>
    <row r="8" spans="1:2" s="19" customFormat="1" ht="18" customHeight="1">
      <c r="A8" s="18" t="str">
        <f>Premium!E28</f>
        <v>COMPETITOR PRODUCT 3</v>
      </c>
      <c r="B8" s="18"/>
    </row>
    <row r="9" spans="1:2" s="19" customFormat="1" ht="18" customHeight="1" thickBot="1">
      <c r="A9" s="22" t="str">
        <f>Premium!E8</f>
        <v>COMPETITOR COMPANY 3</v>
      </c>
      <c r="B9" s="18"/>
    </row>
    <row r="10" spans="1:2" ht="13.5" thickTop="1">
      <c r="A10" s="31" t="s">
        <v>45</v>
      </c>
      <c r="B10" s="31" t="s">
        <v>46</v>
      </c>
    </row>
    <row r="11" spans="1:2" ht="256.5" customHeight="1" thickBot="1">
      <c r="A11" s="95">
        <f>Premium!E81</f>
        <v>0</v>
      </c>
      <c r="B11" s="81">
        <f>Premium!E82</f>
        <v>0</v>
      </c>
    </row>
    <row r="12" spans="1:2" ht="13.5" thickTop="1">
      <c r="A12" s="31" t="s">
        <v>29</v>
      </c>
      <c r="B12" s="31" t="s">
        <v>47</v>
      </c>
    </row>
    <row r="13" spans="1:2" ht="274.5" customHeight="1" thickBot="1">
      <c r="A13" s="96">
        <f>Premium!E84</f>
        <v>0</v>
      </c>
      <c r="B13" s="90">
        <f>Premium!E85</f>
        <v>0</v>
      </c>
    </row>
    <row r="14" spans="1:2" ht="13.5" thickTop="1"/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>
    <tabColor theme="2" tint="-0.499984740745262"/>
  </sheetPr>
  <dimension ref="A1:B13"/>
  <sheetViews>
    <sheetView showGridLines="0" workbookViewId="0"/>
  </sheetViews>
  <sheetFormatPr defaultRowHeight="12.75"/>
  <cols>
    <col min="1" max="1" width="40.5703125" style="15" customWidth="1"/>
    <col min="2" max="2" width="41" style="15" customWidth="1"/>
    <col min="3" max="16384" width="9.140625" style="6"/>
  </cols>
  <sheetData>
    <row r="1" spans="1:2" ht="15">
      <c r="A1" s="13" t="str">
        <f>Premium!A1</f>
        <v>Contoso, Ltd.</v>
      </c>
    </row>
    <row r="2" spans="1:2">
      <c r="A2" s="16" t="str">
        <f>Premium!A2</f>
        <v>FISCAL YEAR 2007</v>
      </c>
    </row>
    <row r="3" spans="1:2">
      <c r="A3" s="17" t="str">
        <f>Premium!A3</f>
        <v>DATE PREPARED: 7/16/2008</v>
      </c>
    </row>
    <row r="4" spans="1:2">
      <c r="A4" s="16" t="str">
        <f>Premium!A4</f>
        <v>OWNER: Scott MacDonald</v>
      </c>
    </row>
    <row r="6" spans="1:2" ht="18.75">
      <c r="A6" s="82" t="s">
        <v>48</v>
      </c>
    </row>
    <row r="7" spans="1:2" ht="13.5" customHeight="1">
      <c r="A7" s="83"/>
      <c r="B7" s="83"/>
    </row>
    <row r="8" spans="1:2" ht="28.7" customHeight="1" thickBot="1">
      <c r="A8" s="11" t="str">
        <f>Premium!B8</f>
        <v>CONTOSO</v>
      </c>
      <c r="B8" s="11"/>
    </row>
    <row r="9" spans="1:2" ht="13.5" thickTop="1">
      <c r="A9" s="31" t="s">
        <v>45</v>
      </c>
      <c r="B9" s="31" t="s">
        <v>46</v>
      </c>
    </row>
    <row r="10" spans="1:2" ht="256.5" customHeight="1" thickBot="1">
      <c r="A10" s="20" t="str">
        <f>Premium!B20</f>
        <v>Size, price</v>
      </c>
      <c r="B10" s="26" t="str">
        <f>Premium!B21</f>
        <v>Quality</v>
      </c>
    </row>
    <row r="11" spans="1:2" ht="13.5" thickTop="1">
      <c r="A11" s="31" t="s">
        <v>29</v>
      </c>
      <c r="B11" s="31" t="s">
        <v>47</v>
      </c>
    </row>
    <row r="12" spans="1:2" ht="274.5" customHeight="1" thickBot="1">
      <c r="A12" s="93" t="str">
        <f>Premium!B22</f>
        <v>Increase distribution</v>
      </c>
      <c r="B12" s="94" t="str">
        <f>Premium!B23</f>
        <v>Grow into West coast</v>
      </c>
    </row>
    <row r="13" spans="1:2" ht="13.5" thickTop="1"/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Premium</vt:lpstr>
      <vt:lpstr>Premium SWOT</vt:lpstr>
      <vt:lpstr>DELUXE SWOT</vt:lpstr>
      <vt:lpstr>BESPOKE SWOT</vt:lpstr>
      <vt:lpstr>Competitor Product3 SWOT</vt:lpstr>
      <vt:lpstr>Contoso SWOT</vt:lpstr>
      <vt:lpstr>Market Share Analysis</vt:lpstr>
      <vt:lpstr>Premium!Print_Area</vt:lpstr>
      <vt:lpstr>Premium!Print_Titles</vt:lpstr>
      <vt:lpstr>'Premium SWOT'!Print_Titles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2006-11-10T21:24:08Z</dcterms:created>
  <dcterms:modified xsi:type="dcterms:W3CDTF">2006-11-10T21:24:42Z</dcterms:modified>
</cp:coreProperties>
</file>
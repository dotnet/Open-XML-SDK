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19455" yWindow="90" windowWidth="15480" windowHeight="10710"/>
  </bookViews>
  <sheets>
    <sheet name="Disputed Invoice Detail" sheetId="1" r:id="rId1"/>
    <sheet name="Disputed Invoice Summary" sheetId="3" r:id="rId2"/>
  </sheets>
  <calcPr calcId="124519"/>
  <webPublishing codePage="1252"/>
</workbook>
</file>

<file path=xl/calcChain.xml><?xml version="1.0" encoding="utf-8"?>
<calcChain xmlns="http://schemas.openxmlformats.org/spreadsheetml/2006/main">
  <c r="B2" i="1"/>
  <c r="B2" i="3" s="1"/>
  <c r="B3"/>
  <c r="B20"/>
  <c r="B21"/>
  <c r="B22"/>
  <c r="B23"/>
  <c r="B24"/>
  <c r="C20"/>
  <c r="C21"/>
  <c r="C22"/>
  <c r="C23"/>
  <c r="C24"/>
  <c r="D20"/>
  <c r="D21"/>
  <c r="D22"/>
  <c r="D23"/>
  <c r="D24"/>
  <c r="E20"/>
  <c r="E21"/>
  <c r="E22"/>
  <c r="E23"/>
  <c r="E24"/>
  <c r="B34"/>
  <c r="B35"/>
  <c r="B36"/>
  <c r="B37"/>
  <c r="B38"/>
  <c r="C34"/>
  <c r="C35"/>
  <c r="C36"/>
  <c r="C37"/>
  <c r="C38"/>
  <c r="D34"/>
  <c r="D35"/>
  <c r="D36"/>
  <c r="D37"/>
  <c r="D38"/>
  <c r="E34"/>
  <c r="E35"/>
  <c r="E36"/>
  <c r="E37"/>
  <c r="E38"/>
  <c r="A1"/>
  <c r="I30" i="1" l="1"/>
  <c r="I32"/>
  <c r="I26"/>
  <c r="I28"/>
  <c r="I24"/>
  <c r="I22"/>
  <c r="I20"/>
  <c r="I18"/>
  <c r="I16"/>
  <c r="I14"/>
  <c r="I12"/>
  <c r="I10"/>
  <c r="I9"/>
  <c r="I31"/>
  <c r="I29"/>
  <c r="I27"/>
  <c r="I25"/>
  <c r="I23"/>
  <c r="I21"/>
  <c r="I19"/>
  <c r="I17"/>
  <c r="I15"/>
  <c r="I13"/>
  <c r="I11"/>
  <c r="K30"/>
  <c r="K31"/>
  <c r="K32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9"/>
  <c r="B9" i="3" l="1"/>
  <c r="C9"/>
  <c r="D17"/>
  <c r="E17"/>
  <c r="C47"/>
  <c r="D47"/>
  <c r="E9"/>
  <c r="B17"/>
  <c r="C17"/>
  <c r="B47"/>
  <c r="E47"/>
  <c r="D9"/>
  <c r="B46"/>
  <c r="E46"/>
  <c r="C46"/>
  <c r="D46"/>
  <c r="C25"/>
  <c r="D25"/>
  <c r="D39"/>
  <c r="B25"/>
  <c r="E25"/>
  <c r="C39"/>
  <c r="D19"/>
  <c r="E19"/>
  <c r="D33"/>
  <c r="B19"/>
  <c r="C19"/>
  <c r="C45"/>
  <c r="D45"/>
  <c r="E45"/>
  <c r="B45"/>
  <c r="B18"/>
  <c r="D18"/>
  <c r="E18"/>
  <c r="D32"/>
  <c r="C18"/>
  <c r="B65"/>
  <c r="C65"/>
  <c r="D65"/>
  <c r="E65"/>
  <c r="AC32" i="1"/>
  <c r="AD32"/>
  <c r="AE32"/>
  <c r="AF32"/>
  <c r="AG32"/>
  <c r="AH32"/>
  <c r="AI32"/>
  <c r="AJ32"/>
  <c r="AC31"/>
  <c r="AD31"/>
  <c r="AE31"/>
  <c r="AF31"/>
  <c r="AG31"/>
  <c r="AH31"/>
  <c r="AI31"/>
  <c r="AJ31"/>
  <c r="T9" l="1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9"/>
  <c r="T21"/>
  <c r="J21"/>
  <c r="J32"/>
  <c r="T32"/>
  <c r="J10"/>
  <c r="T10"/>
  <c r="B39" i="3" l="1"/>
  <c r="E39"/>
  <c r="E33"/>
  <c r="E32"/>
  <c r="E10"/>
  <c r="E31"/>
  <c r="D10"/>
  <c r="D31"/>
  <c r="B10"/>
  <c r="B31"/>
  <c r="C10"/>
  <c r="C31"/>
  <c r="C32"/>
  <c r="C33"/>
  <c r="B32"/>
  <c r="B33"/>
  <c r="AC10" i="1"/>
  <c r="AD10"/>
  <c r="AE10"/>
  <c r="AF10"/>
  <c r="AG10"/>
  <c r="AH10"/>
  <c r="AI10"/>
  <c r="AJ10"/>
  <c r="AC21"/>
  <c r="AD21"/>
  <c r="AE21"/>
  <c r="AF21"/>
  <c r="AG21"/>
  <c r="AH21"/>
  <c r="AI21"/>
  <c r="AJ21"/>
  <c r="J27"/>
  <c r="J28"/>
  <c r="J9"/>
  <c r="J16"/>
  <c r="J11"/>
  <c r="J23"/>
  <c r="J14"/>
  <c r="J15"/>
  <c r="J29"/>
  <c r="J22"/>
  <c r="J20"/>
  <c r="J31"/>
  <c r="J13"/>
  <c r="J12"/>
  <c r="J17"/>
  <c r="J19"/>
  <c r="J30"/>
  <c r="J18"/>
  <c r="J25"/>
  <c r="J24"/>
  <c r="F23" i="3"/>
  <c r="F24"/>
  <c r="F21"/>
  <c r="F20"/>
  <c r="T27" i="1"/>
  <c r="T28"/>
  <c r="T16"/>
  <c r="T11"/>
  <c r="T23"/>
  <c r="T14"/>
  <c r="T15"/>
  <c r="T29"/>
  <c r="T22"/>
  <c r="T20"/>
  <c r="T31"/>
  <c r="T13"/>
  <c r="T12"/>
  <c r="T17"/>
  <c r="T19"/>
  <c r="T30"/>
  <c r="T18"/>
  <c r="T25"/>
  <c r="T24"/>
  <c r="T26"/>
  <c r="J26"/>
  <c r="B68" i="3" l="1"/>
  <c r="C68"/>
  <c r="D68"/>
  <c r="E68"/>
  <c r="B69"/>
  <c r="C69"/>
  <c r="D69"/>
  <c r="E69"/>
  <c r="B70"/>
  <c r="C70"/>
  <c r="D70"/>
  <c r="E70"/>
  <c r="B72"/>
  <c r="C72"/>
  <c r="D72"/>
  <c r="E72"/>
  <c r="B63"/>
  <c r="C63"/>
  <c r="D63"/>
  <c r="E63"/>
  <c r="B62"/>
  <c r="C62"/>
  <c r="D62"/>
  <c r="E62"/>
  <c r="B74"/>
  <c r="C74"/>
  <c r="D74"/>
  <c r="E74"/>
  <c r="B73"/>
  <c r="C73"/>
  <c r="D73"/>
  <c r="E73"/>
  <c r="B55"/>
  <c r="C55"/>
  <c r="D55"/>
  <c r="E55"/>
  <c r="E61"/>
  <c r="D61"/>
  <c r="C61"/>
  <c r="B61"/>
  <c r="F46"/>
  <c r="B66"/>
  <c r="C66"/>
  <c r="D66"/>
  <c r="E66"/>
  <c r="B67"/>
  <c r="C67"/>
  <c r="D67"/>
  <c r="E67"/>
  <c r="B71"/>
  <c r="C71"/>
  <c r="D71"/>
  <c r="E71"/>
  <c r="E53"/>
  <c r="D53"/>
  <c r="C53"/>
  <c r="B53"/>
  <c r="AC28" i="1"/>
  <c r="AD28"/>
  <c r="AE28"/>
  <c r="AF28"/>
  <c r="AG28"/>
  <c r="AH28"/>
  <c r="AI28"/>
  <c r="AJ28"/>
  <c r="AC25"/>
  <c r="AD25"/>
  <c r="AE25"/>
  <c r="AF25"/>
  <c r="AG25"/>
  <c r="AH25"/>
  <c r="AI25"/>
  <c r="AJ25"/>
  <c r="AC18"/>
  <c r="AD18"/>
  <c r="AE18"/>
  <c r="AF18"/>
  <c r="AG18"/>
  <c r="AH18"/>
  <c r="AI18"/>
  <c r="AJ18"/>
  <c r="AC30"/>
  <c r="AD30"/>
  <c r="AE30"/>
  <c r="AF30"/>
  <c r="AG30"/>
  <c r="AH30"/>
  <c r="AI30"/>
  <c r="AJ30"/>
  <c r="AC17"/>
  <c r="AD17"/>
  <c r="AE17"/>
  <c r="AF17"/>
  <c r="AG17"/>
  <c r="AH17"/>
  <c r="AI17"/>
  <c r="AJ17"/>
  <c r="AC12"/>
  <c r="AD12"/>
  <c r="AE12"/>
  <c r="AF12"/>
  <c r="AG12"/>
  <c r="AH12"/>
  <c r="AI12"/>
  <c r="AJ12"/>
  <c r="AC20"/>
  <c r="AD20"/>
  <c r="AE20"/>
  <c r="AF20"/>
  <c r="AG20"/>
  <c r="AH20"/>
  <c r="AI20"/>
  <c r="AJ20"/>
  <c r="AC22"/>
  <c r="AD22"/>
  <c r="AE22"/>
  <c r="AF22"/>
  <c r="AG22"/>
  <c r="AH22"/>
  <c r="AI22"/>
  <c r="AJ22"/>
  <c r="AC29"/>
  <c r="AD29"/>
  <c r="AE29"/>
  <c r="AF29"/>
  <c r="AG29"/>
  <c r="AH29"/>
  <c r="AI29"/>
  <c r="AJ29"/>
  <c r="AD15"/>
  <c r="AE15"/>
  <c r="AG15"/>
  <c r="AH15"/>
  <c r="AI15"/>
  <c r="AJ15"/>
  <c r="AC11"/>
  <c r="AD11"/>
  <c r="AE11"/>
  <c r="AF11"/>
  <c r="AG11"/>
  <c r="AH11"/>
  <c r="AI11"/>
  <c r="AJ11"/>
  <c r="AC27"/>
  <c r="AD27"/>
  <c r="AE27"/>
  <c r="AF27"/>
  <c r="AG27"/>
  <c r="AH27"/>
  <c r="AI27"/>
  <c r="AJ27"/>
  <c r="AC26"/>
  <c r="AD26"/>
  <c r="AE26"/>
  <c r="AF26"/>
  <c r="AG26"/>
  <c r="AH26"/>
  <c r="AI26"/>
  <c r="AJ26"/>
  <c r="AC24"/>
  <c r="AD24"/>
  <c r="AE24"/>
  <c r="AF24"/>
  <c r="AG24"/>
  <c r="AH24"/>
  <c r="AI24"/>
  <c r="AJ24"/>
  <c r="AC19"/>
  <c r="AD19"/>
  <c r="AE19"/>
  <c r="AF19"/>
  <c r="AG19"/>
  <c r="AH19"/>
  <c r="AI19"/>
  <c r="AJ19"/>
  <c r="AC13"/>
  <c r="AD13"/>
  <c r="AE13"/>
  <c r="AF13"/>
  <c r="AG13"/>
  <c r="AH13"/>
  <c r="AI13"/>
  <c r="AJ13"/>
  <c r="AC23"/>
  <c r="AD23"/>
  <c r="AE23"/>
  <c r="AF23"/>
  <c r="AG23"/>
  <c r="AH23"/>
  <c r="AI23"/>
  <c r="AJ23"/>
  <c r="AC16"/>
  <c r="AD16"/>
  <c r="AE16"/>
  <c r="AF16"/>
  <c r="AG16"/>
  <c r="AH16"/>
  <c r="AI16"/>
  <c r="AJ16"/>
  <c r="AC14"/>
  <c r="AD14"/>
  <c r="AE14"/>
  <c r="AF14"/>
  <c r="AG14"/>
  <c r="AH14"/>
  <c r="AI14"/>
  <c r="AJ14"/>
  <c r="F70" i="3"/>
  <c r="F68"/>
  <c r="F55" l="1"/>
  <c r="B12"/>
  <c r="F12" s="1"/>
  <c r="F22"/>
  <c r="F19"/>
  <c r="F25"/>
  <c r="F69"/>
  <c r="F18"/>
  <c r="A15" i="1"/>
  <c r="AF15" s="1"/>
  <c r="AC15" l="1"/>
  <c r="F61" i="3"/>
  <c r="F62"/>
  <c r="F63"/>
  <c r="F53"/>
  <c r="F45"/>
  <c r="F65"/>
  <c r="F66"/>
  <c r="F67"/>
  <c r="F71"/>
  <c r="F72"/>
  <c r="F73"/>
  <c r="F74"/>
  <c r="F32"/>
  <c r="F33"/>
  <c r="F34"/>
  <c r="F35"/>
  <c r="F36"/>
  <c r="F37"/>
  <c r="F38"/>
  <c r="F39"/>
  <c r="AC9" i="1"/>
  <c r="B8" i="3" s="1"/>
  <c r="C48"/>
  <c r="B54"/>
  <c r="B56" s="1"/>
  <c r="D48"/>
  <c r="AG9" i="1"/>
  <c r="B11" i="3" s="1"/>
  <c r="B26"/>
  <c r="B40"/>
  <c r="F9"/>
  <c r="D26"/>
  <c r="E26"/>
  <c r="E54"/>
  <c r="E56" s="1"/>
  <c r="AI9" i="1"/>
  <c r="D11" i="3" s="1"/>
  <c r="AE9" i="1"/>
  <c r="D8" i="3" s="1"/>
  <c r="F10"/>
  <c r="D54"/>
  <c r="D56" s="1"/>
  <c r="E40"/>
  <c r="B64"/>
  <c r="B75" s="1"/>
  <c r="E48"/>
  <c r="B48"/>
  <c r="AJ9" i="1"/>
  <c r="E11" i="3" s="1"/>
  <c r="C64"/>
  <c r="C75" s="1"/>
  <c r="E64"/>
  <c r="E75" s="1"/>
  <c r="D64"/>
  <c r="D75" s="1"/>
  <c r="D40"/>
  <c r="AH9" i="1"/>
  <c r="C11" i="3" s="1"/>
  <c r="AD9" i="1"/>
  <c r="C8" i="3" s="1"/>
  <c r="AF9" i="1"/>
  <c r="E8" i="3" s="1"/>
  <c r="C26"/>
  <c r="C54"/>
  <c r="C56" s="1"/>
  <c r="F11" l="1"/>
  <c r="F8"/>
  <c r="F31"/>
  <c r="F40" s="1"/>
  <c r="F47"/>
  <c r="F48" s="1"/>
  <c r="F64"/>
  <c r="F75" s="1"/>
  <c r="C40"/>
  <c r="F17"/>
  <c r="F26" s="1"/>
  <c r="F54"/>
  <c r="F56" s="1"/>
</calcChain>
</file>

<file path=xl/sharedStrings.xml><?xml version="1.0" encoding="utf-8"?>
<sst xmlns="http://schemas.openxmlformats.org/spreadsheetml/2006/main" count="334" uniqueCount="123">
  <si>
    <t>Janitorial</t>
  </si>
  <si>
    <t>Waste removal</t>
  </si>
  <si>
    <t>Monitors</t>
  </si>
  <si>
    <t>PCs</t>
  </si>
  <si>
    <t>Printers</t>
  </si>
  <si>
    <t>Copier paper</t>
  </si>
  <si>
    <t>Flour</t>
  </si>
  <si>
    <t>Hand soap</t>
  </si>
  <si>
    <t>Accounting software</t>
  </si>
  <si>
    <t>Cardboard boxes</t>
  </si>
  <si>
    <t>Printing</t>
  </si>
  <si>
    <t>Pens</t>
  </si>
  <si>
    <t>Research subscription</t>
  </si>
  <si>
    <t>Yes</t>
  </si>
  <si>
    <t>No</t>
  </si>
  <si>
    <t>Purchaser/Buyer</t>
  </si>
  <si>
    <t>Mobile phones</t>
  </si>
  <si>
    <t>n/a</t>
  </si>
  <si>
    <t>[Company Name]</t>
  </si>
  <si>
    <t>Invoice Date</t>
  </si>
  <si>
    <t>Northwind Traders</t>
  </si>
  <si>
    <t>Quantity</t>
  </si>
  <si>
    <t>Vendor Name</t>
  </si>
  <si>
    <t>A. Datum Corporation</t>
  </si>
  <si>
    <t>Contoso, Ltd</t>
  </si>
  <si>
    <t>Proseware, Inc.</t>
  </si>
  <si>
    <t>The Phone Company</t>
  </si>
  <si>
    <t>Coffee beans</t>
  </si>
  <si>
    <t>Fourth Coffee</t>
  </si>
  <si>
    <t>Litware, Inc.</t>
  </si>
  <si>
    <t>Trey Research</t>
  </si>
  <si>
    <t>Graphic Design Institute</t>
  </si>
  <si>
    <t>Southridge Video</t>
  </si>
  <si>
    <t>Worldwide Importers</t>
  </si>
  <si>
    <t>Invoice No.</t>
  </si>
  <si>
    <t>Invoice Received Date</t>
  </si>
  <si>
    <t>Invoice Total</t>
  </si>
  <si>
    <t>Quantity on Invoice</t>
  </si>
  <si>
    <t>Price on Invoice</t>
  </si>
  <si>
    <t>EPD%</t>
  </si>
  <si>
    <t>EPD Days Remaining</t>
  </si>
  <si>
    <t>EPD Amount</t>
  </si>
  <si>
    <t>Invoice Age</t>
  </si>
  <si>
    <t>Vendor No.</t>
  </si>
  <si>
    <t>Key Vendor</t>
  </si>
  <si>
    <t>Purchase Order No.</t>
  </si>
  <si>
    <t>Line Item Description</t>
  </si>
  <si>
    <t>Quantity on PO</t>
  </si>
  <si>
    <t>Price on PO</t>
  </si>
  <si>
    <t>Quantity Received</t>
  </si>
  <si>
    <t>$ Variance on PO</t>
  </si>
  <si>
    <t>$ Variance on Received</t>
  </si>
  <si>
    <t>Total Disputed Amount</t>
  </si>
  <si>
    <t>Reason for Dispute #1</t>
  </si>
  <si>
    <t>Reason for Dispute #2</t>
  </si>
  <si>
    <t>Reason for Dispute #3</t>
  </si>
  <si>
    <t>AP Person Assigned</t>
  </si>
  <si>
    <t>EPD Days to Pay</t>
  </si>
  <si>
    <t>Number of unique disputed invoices</t>
  </si>
  <si>
    <t>Total disputed invoice amount ($)</t>
  </si>
  <si>
    <t>Number of disputed invoice line items</t>
  </si>
  <si>
    <t>Number of vendors with disputed invoices</t>
  </si>
  <si>
    <t>&lt;30 days</t>
  </si>
  <si>
    <t>30-60 days</t>
  </si>
  <si>
    <t>61-90 Days</t>
  </si>
  <si>
    <t>&gt;90 Days</t>
  </si>
  <si>
    <t>Price</t>
  </si>
  <si>
    <t>PO never created</t>
  </si>
  <si>
    <t>Missing terms</t>
  </si>
  <si>
    <t>Different terms</t>
  </si>
  <si>
    <t>PO already invoiced</t>
  </si>
  <si>
    <t>PO never issued</t>
  </si>
  <si>
    <t>Total</t>
  </si>
  <si>
    <t>Business liability policy</t>
  </si>
  <si>
    <t>Humongous Insurance</t>
  </si>
  <si>
    <t>Margie's Travel</t>
  </si>
  <si>
    <t>Plane tickets to Buffalo</t>
  </si>
  <si>
    <t>Mobile phone</t>
  </si>
  <si>
    <t>Tailspin Toys</t>
  </si>
  <si>
    <t>Promotional items</t>
  </si>
  <si>
    <t>Promotional CDs</t>
  </si>
  <si>
    <t>Disputed Invoice Analysis Framework</t>
  </si>
  <si>
    <t>Other</t>
  </si>
  <si>
    <t>Duplicate invoice</t>
  </si>
  <si>
    <t>Plastic cups</t>
  </si>
  <si>
    <t>Buck, Sven</t>
  </si>
  <si>
    <t>Lengyel, Attila</t>
  </si>
  <si>
    <t>Stangl, Elke</t>
  </si>
  <si>
    <t>Splinter, Koos</t>
  </si>
  <si>
    <t>Smith, John</t>
  </si>
  <si>
    <t>Total Disputed Invoices</t>
  </si>
  <si>
    <t>Number of Disputed Invoices by Purchaser/Buyer</t>
  </si>
  <si>
    <t>Number of Disputed Invoices by Vendor</t>
  </si>
  <si>
    <t>Han, Mu</t>
  </si>
  <si>
    <t>AP Associate</t>
  </si>
  <si>
    <t>Vendor</t>
  </si>
  <si>
    <t>Reasons for Dispute</t>
  </si>
  <si>
    <t>Total $ Amount of Disputed Invoices</t>
  </si>
  <si>
    <t>Total # of Disputed Invoices</t>
  </si>
  <si>
    <t>&lt;30</t>
  </si>
  <si>
    <t>30-60</t>
  </si>
  <si>
    <t>61-90</t>
  </si>
  <si>
    <t>&gt;91</t>
  </si>
  <si>
    <t>General liability premium</t>
  </si>
  <si>
    <t>Paper bags</t>
  </si>
  <si>
    <t>Vendor Information</t>
  </si>
  <si>
    <t>Purchase Order Information</t>
  </si>
  <si>
    <t>Amount of EPD at risk</t>
  </si>
  <si>
    <t>Metric</t>
  </si>
  <si>
    <t>INVOICE DETAILS</t>
  </si>
  <si>
    <t>CONTACTS</t>
  </si>
  <si>
    <t>ANALYSIS INFORMATION</t>
  </si>
  <si>
    <t>REASON FOR INVOICE CORRECTION</t>
  </si>
  <si>
    <t>DISPUTED ANALYSIS METRICS</t>
  </si>
  <si>
    <t>REASONS FOR DISPUTED INVOICES (BY NUMBER)</t>
  </si>
  <si>
    <t>REASONS FOR DISPUTED INVOICES (BY DOLLAR AMOUNT)</t>
  </si>
  <si>
    <t xml:space="preserve">NUMBER OF DISPUTED INVOICES BY AP ASSOCIATE </t>
  </si>
  <si>
    <t xml:space="preserve">PREPARED BY: </t>
  </si>
  <si>
    <t>[name]</t>
  </si>
  <si>
    <t xml:space="preserve">DATE PREPARED: </t>
  </si>
  <si>
    <t>PREPARED BY:</t>
  </si>
  <si>
    <t>Daly, Jim</t>
  </si>
  <si>
    <t>Invoice Tracking Workbook</t>
  </si>
</sst>
</file>

<file path=xl/styles.xml><?xml version="1.0" encoding="utf-8"?>
<styleSheet xmlns="http://schemas.openxmlformats.org/spreadsheetml/2006/main">
  <numFmts count="8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m/d/yy;@"/>
    <numFmt numFmtId="166" formatCode="mm/dd/yy;@"/>
    <numFmt numFmtId="167" formatCode="_(* #,##0_);_(* \(#,##0\);_(* &quot;-&quot;??_);_(@_)"/>
    <numFmt numFmtId="168" formatCode="0.00;[Red]0.00"/>
  </numFmts>
  <fonts count="27">
    <font>
      <sz val="11"/>
      <color theme="1"/>
      <name val="Calibri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1"/>
      <name val="Calibri"/>
      <family val="1"/>
      <scheme val="major"/>
    </font>
    <font>
      <sz val="11"/>
      <color rgb="FF000080"/>
      <name val="Calibri"/>
      <family val="1"/>
      <scheme val="major"/>
    </font>
    <font>
      <sz val="11"/>
      <color theme="0"/>
      <name val="Calibri"/>
      <family val="1"/>
      <scheme val="major"/>
    </font>
    <font>
      <b/>
      <sz val="12"/>
      <color theme="0"/>
      <name val="Calibri"/>
      <family val="1"/>
      <scheme val="major"/>
    </font>
    <font>
      <sz val="11"/>
      <color theme="1"/>
      <name val="Calibri"/>
      <family val="1"/>
      <scheme val="maj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3"/>
      <color theme="1"/>
      <name val="Calibri"/>
      <family val="1"/>
      <scheme val="major"/>
    </font>
    <font>
      <b/>
      <sz val="9"/>
      <name val="Calibri"/>
      <family val="2"/>
      <scheme val="minor"/>
    </font>
    <font>
      <sz val="9"/>
      <color rgb="FF333333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90">
        <stop position="0">
          <color rgb="FFE4EFFC"/>
        </stop>
        <stop position="1">
          <color rgb="FFACCFF6"/>
        </stop>
      </gradientFill>
    </fill>
    <fill>
      <gradientFill degree="90">
        <stop position="0">
          <color rgb="FF92C4FC"/>
        </stop>
        <stop position="1">
          <color rgb="FF4B8FD9"/>
        </stop>
      </gradientFill>
    </fill>
    <fill>
      <patternFill patternType="solid">
        <fgColor rgb="FFFFFF00"/>
      </patternFill>
    </fill>
    <fill>
      <gradientFill degree="90">
        <stop position="0">
          <color theme="4" tint="0.59999389629810485"/>
        </stop>
        <stop position="1">
          <color rgb="FFFFFFFF"/>
        </stop>
      </gradientFill>
    </fill>
    <fill>
      <patternFill patternType="solid">
        <fgColor theme="4" tint="0.79998168889431442"/>
        <bgColor rgb="FFE0E9F4"/>
      </patternFill>
    </fill>
    <fill>
      <patternFill patternType="solid">
        <fgColor theme="6"/>
        <bgColor rgb="FFE0E9F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 tint="0.39997558519241921"/>
      </bottom>
      <diagonal/>
    </border>
    <border>
      <left style="thin">
        <color rgb="FFBBD2F7"/>
      </left>
      <right style="thin">
        <color rgb="FF325DA4"/>
      </right>
      <top style="thin">
        <color rgb="FFBBD2F7"/>
      </top>
      <bottom style="thin">
        <color rgb="FF325DA4"/>
      </bottom>
      <diagonal/>
    </border>
    <border>
      <left style="thin">
        <color rgb="FF325DA4"/>
      </left>
      <right style="thin">
        <color rgb="FF325DA4"/>
      </right>
      <top style="thin">
        <color rgb="FF1D4293"/>
      </top>
      <bottom style="thin">
        <color rgb="FF1D4293"/>
      </bottom>
      <diagonal/>
    </border>
    <border>
      <left/>
      <right/>
      <top style="thin">
        <color rgb="FF406F96"/>
      </top>
      <bottom style="thin">
        <color rgb="FF406F96"/>
      </bottom>
      <diagonal/>
    </border>
    <border>
      <left style="hair">
        <color rgb="FF777777"/>
      </left>
      <right style="hair">
        <color rgb="FF777777"/>
      </right>
      <top/>
      <bottom/>
      <diagonal/>
    </border>
    <border>
      <left/>
      <right/>
      <top style="thick">
        <color rgb="FFAED4B4"/>
      </top>
      <bottom/>
      <diagonal/>
    </border>
    <border>
      <left/>
      <right/>
      <top/>
      <bottom style="thick">
        <color rgb="FFAED4B4"/>
      </bottom>
      <diagonal/>
    </border>
    <border>
      <left/>
      <right/>
      <top/>
      <bottom style="medium">
        <color rgb="FFAED4B4"/>
      </bottom>
      <diagonal/>
    </border>
    <border>
      <left style="hair">
        <color rgb="FF777777"/>
      </left>
      <right style="hair">
        <color rgb="FF777777"/>
      </right>
      <top/>
      <bottom style="medium">
        <color rgb="FFAED4B4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/>
      <diagonal/>
    </border>
    <border>
      <left/>
      <right/>
      <top style="thin">
        <color theme="4" tint="-0.24994659260841701"/>
      </top>
      <bottom/>
      <diagonal/>
    </border>
    <border>
      <left/>
      <right/>
      <top style="thick">
        <color theme="5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rgb="FFAED4B4"/>
      </top>
      <bottom/>
      <diagonal/>
    </border>
  </borders>
  <cellStyleXfs count="8">
    <xf numFmtId="0" fontId="0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3" applyNumberFormat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9" fontId="13" fillId="0" borderId="4">
      <alignment wrapText="1"/>
    </xf>
    <xf numFmtId="0" fontId="20" fillId="0" borderId="6">
      <alignment horizontal="center"/>
    </xf>
  </cellStyleXfs>
  <cellXfs count="13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/>
    <xf numFmtId="0" fontId="0" fillId="4" borderId="0" xfId="0" applyFill="1" applyAlignment="1">
      <alignment horizontal="center"/>
    </xf>
    <xf numFmtId="0" fontId="0" fillId="4" borderId="0" xfId="0" applyFill="1"/>
    <xf numFmtId="0" fontId="8" fillId="0" borderId="0" xfId="0" applyFont="1" applyFill="1"/>
    <xf numFmtId="0" fontId="12" fillId="0" borderId="0" xfId="0" applyFont="1"/>
    <xf numFmtId="167" fontId="8" fillId="0" borderId="0" xfId="5" applyNumberFormat="1" applyFont="1" applyFill="1" applyBorder="1" applyAlignment="1">
      <alignment horizontal="center"/>
    </xf>
    <xf numFmtId="0" fontId="14" fillId="0" borderId="0" xfId="0" applyFont="1"/>
    <xf numFmtId="166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0" fontId="2" fillId="0" borderId="0" xfId="0" applyFont="1" applyFill="1" applyAlignment="1">
      <alignment horizontal="right"/>
    </xf>
    <xf numFmtId="14" fontId="10" fillId="0" borderId="0" xfId="0" applyNumberFormat="1" applyFont="1" applyBorder="1" applyAlignment="1">
      <alignment horizontal="left"/>
    </xf>
    <xf numFmtId="0" fontId="2" fillId="0" borderId="0" xfId="0" applyFont="1" applyFill="1" applyAlignment="1">
      <alignment horizontal="center"/>
    </xf>
    <xf numFmtId="0" fontId="15" fillId="0" borderId="0" xfId="0" applyFont="1" applyFill="1"/>
    <xf numFmtId="0" fontId="15" fillId="0" borderId="0" xfId="0" applyFont="1" applyFill="1" applyAlignment="1">
      <alignment horizontal="center"/>
    </xf>
    <xf numFmtId="0" fontId="15" fillId="0" borderId="0" xfId="0" applyFont="1"/>
    <xf numFmtId="1" fontId="11" fillId="0" borderId="0" xfId="1" applyNumberFormat="1" applyFont="1" applyFill="1" applyBorder="1" applyAlignment="1">
      <alignment horizontal="center"/>
    </xf>
    <xf numFmtId="1" fontId="17" fillId="0" borderId="0" xfId="2" applyNumberFormat="1" applyFont="1" applyFill="1" applyBorder="1" applyAlignment="1">
      <alignment horizontal="center"/>
    </xf>
    <xf numFmtId="1" fontId="17" fillId="0" borderId="0" xfId="0" applyNumberFormat="1" applyFont="1" applyFill="1" applyAlignment="1">
      <alignment horizontal="center"/>
    </xf>
    <xf numFmtId="166" fontId="18" fillId="0" borderId="5" xfId="2" applyNumberFormat="1" applyFont="1" applyFill="1" applyBorder="1" applyAlignment="1">
      <alignment horizontal="right" indent="2"/>
    </xf>
    <xf numFmtId="164" fontId="18" fillId="0" borderId="5" xfId="2" applyNumberFormat="1" applyFont="1" applyFill="1" applyBorder="1" applyAlignment="1">
      <alignment horizontal="right" indent="2"/>
    </xf>
    <xf numFmtId="3" fontId="18" fillId="0" borderId="5" xfId="2" applyNumberFormat="1" applyFont="1" applyFill="1" applyBorder="1" applyAlignment="1">
      <alignment horizontal="center"/>
    </xf>
    <xf numFmtId="164" fontId="18" fillId="0" borderId="5" xfId="2" applyNumberFormat="1" applyFont="1" applyFill="1" applyBorder="1" applyAlignment="1">
      <alignment horizontal="center"/>
    </xf>
    <xf numFmtId="10" fontId="18" fillId="0" borderId="5" xfId="2" applyNumberFormat="1" applyFont="1" applyFill="1" applyBorder="1" applyAlignment="1">
      <alignment horizontal="center"/>
    </xf>
    <xf numFmtId="1" fontId="18" fillId="0" borderId="5" xfId="2" applyNumberFormat="1" applyFont="1" applyFill="1" applyBorder="1" applyAlignment="1">
      <alignment horizontal="center"/>
    </xf>
    <xf numFmtId="4" fontId="18" fillId="0" borderId="5" xfId="2" applyNumberFormat="1" applyFont="1" applyFill="1" applyBorder="1" applyAlignment="1">
      <alignment horizontal="right" indent="2"/>
    </xf>
    <xf numFmtId="165" fontId="18" fillId="0" borderId="5" xfId="2" applyNumberFormat="1" applyFont="1" applyFill="1" applyBorder="1" applyAlignment="1">
      <alignment horizontal="right" indent="2"/>
    </xf>
    <xf numFmtId="1" fontId="2" fillId="0" borderId="0" xfId="0" applyNumberFormat="1" applyFont="1"/>
    <xf numFmtId="3" fontId="18" fillId="0" borderId="5" xfId="2" applyNumberFormat="1" applyFont="1" applyFill="1" applyBorder="1" applyAlignment="1">
      <alignment horizontal="right" indent="2"/>
    </xf>
    <xf numFmtId="0" fontId="2" fillId="0" borderId="0" xfId="0" applyFont="1" applyFill="1" applyBorder="1" applyAlignment="1">
      <alignment horizontal="center"/>
    </xf>
    <xf numFmtId="164" fontId="18" fillId="0" borderId="0" xfId="2" applyNumberFormat="1" applyFont="1" applyFill="1" applyBorder="1" applyAlignment="1">
      <alignment horizontal="left" indent="2"/>
    </xf>
    <xf numFmtId="1" fontId="18" fillId="0" borderId="0" xfId="2" applyNumberFormat="1" applyFont="1" applyFill="1" applyBorder="1" applyAlignment="1">
      <alignment horizontal="right" indent="2"/>
    </xf>
    <xf numFmtId="0" fontId="18" fillId="0" borderId="5" xfId="2" applyFont="1" applyFill="1" applyBorder="1" applyAlignment="1">
      <alignment horizontal="center"/>
    </xf>
    <xf numFmtId="0" fontId="18" fillId="0" borderId="5" xfId="2" applyFont="1" applyFill="1" applyBorder="1" applyAlignment="1">
      <alignment horizontal="left"/>
    </xf>
    <xf numFmtId="0" fontId="18" fillId="0" borderId="5" xfId="2" applyFont="1" applyFill="1" applyBorder="1" applyAlignment="1">
      <alignment horizontal="left" indent="1"/>
    </xf>
    <xf numFmtId="164" fontId="18" fillId="0" borderId="5" xfId="2" applyNumberFormat="1" applyFont="1" applyFill="1" applyBorder="1" applyAlignment="1">
      <alignment horizontal="left" indent="2"/>
    </xf>
    <xf numFmtId="166" fontId="2" fillId="0" borderId="5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5" xfId="0" applyFont="1" applyFill="1" applyBorder="1"/>
    <xf numFmtId="0" fontId="16" fillId="0" borderId="0" xfId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/>
    </xf>
    <xf numFmtId="0" fontId="9" fillId="0" borderId="0" xfId="0" applyFont="1" applyBorder="1"/>
    <xf numFmtId="0" fontId="9" fillId="0" borderId="0" xfId="0" applyFont="1" applyFill="1" applyBorder="1"/>
    <xf numFmtId="167" fontId="8" fillId="0" borderId="5" xfId="5" applyNumberFormat="1" applyFont="1" applyFill="1" applyBorder="1" applyAlignment="1">
      <alignment horizontal="center"/>
    </xf>
    <xf numFmtId="0" fontId="18" fillId="0" borderId="5" xfId="3" applyFont="1" applyFill="1" applyBorder="1" applyAlignment="1">
      <alignment horizontal="center"/>
    </xf>
    <xf numFmtId="0" fontId="20" fillId="0" borderId="0" xfId="3" applyFont="1" applyFill="1" applyBorder="1" applyAlignment="1">
      <alignment horizontal="center"/>
    </xf>
    <xf numFmtId="0" fontId="20" fillId="0" borderId="0" xfId="3" applyNumberFormat="1" applyFont="1" applyFill="1" applyBorder="1" applyAlignment="1">
      <alignment horizontal="center"/>
    </xf>
    <xf numFmtId="3" fontId="18" fillId="0" borderId="5" xfId="3" applyNumberFormat="1" applyFont="1" applyFill="1" applyBorder="1" applyAlignment="1">
      <alignment horizontal="center"/>
    </xf>
    <xf numFmtId="7" fontId="18" fillId="0" borderId="5" xfId="3" applyNumberFormat="1" applyFont="1" applyFill="1" applyBorder="1" applyAlignment="1">
      <alignment horizontal="center"/>
    </xf>
    <xf numFmtId="7" fontId="20" fillId="0" borderId="0" xfId="3" applyNumberFormat="1" applyFont="1" applyFill="1" applyBorder="1" applyAlignment="1">
      <alignment horizontal="center"/>
    </xf>
    <xf numFmtId="167" fontId="19" fillId="0" borderId="5" xfId="5" applyNumberFormat="1" applyFont="1" applyFill="1" applyBorder="1" applyAlignment="1">
      <alignment horizontal="center"/>
    </xf>
    <xf numFmtId="167" fontId="19" fillId="0" borderId="0" xfId="5" applyNumberFormat="1" applyFont="1" applyFill="1" applyBorder="1" applyAlignment="1">
      <alignment horizontal="center"/>
    </xf>
    <xf numFmtId="0" fontId="19" fillId="0" borderId="8" xfId="0" applyFont="1" applyFill="1" applyBorder="1"/>
    <xf numFmtId="44" fontId="19" fillId="0" borderId="5" xfId="0" applyNumberFormat="1" applyFont="1" applyFill="1" applyBorder="1" applyAlignment="1">
      <alignment horizontal="center"/>
    </xf>
    <xf numFmtId="44" fontId="19" fillId="0" borderId="0" xfId="0" applyNumberFormat="1" applyFont="1" applyFill="1" applyBorder="1" applyAlignment="1">
      <alignment horizontal="center"/>
    </xf>
    <xf numFmtId="44" fontId="19" fillId="0" borderId="9" xfId="0" applyNumberFormat="1" applyFont="1" applyFill="1" applyBorder="1" applyAlignment="1">
      <alignment horizontal="center"/>
    </xf>
    <xf numFmtId="44" fontId="19" fillId="0" borderId="8" xfId="0" applyNumberFormat="1" applyFont="1" applyFill="1" applyBorder="1" applyAlignment="1">
      <alignment horizontal="center"/>
    </xf>
    <xf numFmtId="0" fontId="19" fillId="0" borderId="0" xfId="0" applyFont="1" applyFill="1" applyBorder="1" applyAlignment="1">
      <alignment horizontal="left" indent="2"/>
    </xf>
    <xf numFmtId="164" fontId="1" fillId="0" borderId="0" xfId="0" applyNumberFormat="1" applyFont="1" applyBorder="1" applyAlignment="1">
      <alignment horizontal="center"/>
    </xf>
    <xf numFmtId="3" fontId="1" fillId="0" borderId="5" xfId="3" applyNumberFormat="1" applyFont="1" applyFill="1" applyBorder="1" applyAlignment="1">
      <alignment horizontal="center"/>
    </xf>
    <xf numFmtId="164" fontId="1" fillId="0" borderId="5" xfId="0" applyNumberFormat="1" applyFont="1" applyFill="1" applyBorder="1" applyAlignment="1">
      <alignment horizontal="center"/>
    </xf>
    <xf numFmtId="0" fontId="1" fillId="0" borderId="0" xfId="0" applyFont="1"/>
    <xf numFmtId="164" fontId="0" fillId="0" borderId="0" xfId="0" applyNumberFormat="1" applyFont="1" applyBorder="1" applyAlignment="1">
      <alignment horizontal="center"/>
    </xf>
    <xf numFmtId="166" fontId="23" fillId="0" borderId="0" xfId="0" applyNumberFormat="1" applyFont="1" applyBorder="1" applyAlignment="1">
      <alignment horizontal="left"/>
    </xf>
    <xf numFmtId="0" fontId="18" fillId="0" borderId="5" xfId="3" applyNumberFormat="1" applyFont="1" applyFill="1" applyBorder="1" applyAlignment="1">
      <alignment horizontal="center"/>
    </xf>
    <xf numFmtId="168" fontId="18" fillId="0" borderId="5" xfId="3" applyNumberFormat="1" applyFont="1" applyFill="1" applyBorder="1" applyAlignment="1">
      <alignment horizontal="center"/>
    </xf>
    <xf numFmtId="168" fontId="2" fillId="0" borderId="5" xfId="0" applyNumberFormat="1" applyFont="1" applyBorder="1" applyAlignment="1">
      <alignment horizontal="center"/>
    </xf>
    <xf numFmtId="168" fontId="2" fillId="0" borderId="0" xfId="0" applyNumberFormat="1" applyFont="1" applyBorder="1" applyAlignment="1">
      <alignment horizontal="center"/>
    </xf>
    <xf numFmtId="168" fontId="2" fillId="0" borderId="0" xfId="0" applyNumberFormat="1" applyFont="1"/>
    <xf numFmtId="164" fontId="18" fillId="0" borderId="10" xfId="3" applyNumberFormat="1" applyFont="1" applyFill="1" applyBorder="1" applyAlignment="1">
      <alignment horizontal="center"/>
    </xf>
    <xf numFmtId="164" fontId="18" fillId="0" borderId="11" xfId="3" applyNumberFormat="1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4" fillId="0" borderId="0" xfId="0" applyFont="1" applyBorder="1" applyAlignment="1">
      <alignment horizontal="center"/>
    </xf>
    <xf numFmtId="0" fontId="22" fillId="0" borderId="0" xfId="0" applyFont="1" applyFill="1" applyBorder="1" applyAlignment="1">
      <alignment horizontal="left" indent="2"/>
    </xf>
    <xf numFmtId="0" fontId="24" fillId="0" borderId="0" xfId="0" applyFont="1" applyFill="1"/>
    <xf numFmtId="0" fontId="10" fillId="0" borderId="0" xfId="0" applyFont="1" applyFill="1"/>
    <xf numFmtId="0" fontId="1" fillId="0" borderId="0" xfId="0" applyFont="1" applyFill="1"/>
    <xf numFmtId="0" fontId="24" fillId="0" borderId="0" xfId="0" applyFont="1"/>
    <xf numFmtId="167" fontId="18" fillId="0" borderId="5" xfId="5" applyNumberFormat="1" applyFont="1" applyFill="1" applyBorder="1" applyAlignment="1">
      <alignment horizontal="center"/>
    </xf>
    <xf numFmtId="167" fontId="20" fillId="0" borderId="0" xfId="5" applyNumberFormat="1" applyFont="1" applyFill="1" applyBorder="1" applyAlignment="1">
      <alignment horizontal="center"/>
    </xf>
    <xf numFmtId="44" fontId="18" fillId="0" borderId="5" xfId="4" applyFont="1" applyFill="1" applyBorder="1" applyAlignment="1">
      <alignment horizontal="center"/>
    </xf>
    <xf numFmtId="44" fontId="20" fillId="0" borderId="0" xfId="4" applyFont="1" applyFill="1" applyBorder="1" applyAlignment="1">
      <alignment horizontal="center"/>
    </xf>
    <xf numFmtId="0" fontId="8" fillId="0" borderId="0" xfId="0" applyFont="1"/>
    <xf numFmtId="167" fontId="17" fillId="0" borderId="5" xfId="5" applyNumberFormat="1" applyFont="1" applyFill="1" applyBorder="1" applyAlignment="1">
      <alignment horizontal="center"/>
    </xf>
    <xf numFmtId="167" fontId="25" fillId="0" borderId="0" xfId="5" applyNumberFormat="1" applyFont="1" applyFill="1" applyBorder="1" applyAlignment="1">
      <alignment horizontal="center"/>
    </xf>
    <xf numFmtId="0" fontId="19" fillId="0" borderId="7" xfId="0" applyFont="1" applyFill="1" applyBorder="1" applyAlignment="1">
      <alignment horizontal="left"/>
    </xf>
    <xf numFmtId="0" fontId="19" fillId="0" borderId="0" xfId="0" applyFont="1" applyFill="1" applyBorder="1" applyAlignment="1">
      <alignment horizontal="left"/>
    </xf>
    <xf numFmtId="49" fontId="26" fillId="0" borderId="0" xfId="6" applyFont="1" applyBorder="1" applyAlignment="1"/>
    <xf numFmtId="0" fontId="18" fillId="5" borderId="12" xfId="0" applyFont="1" applyFill="1" applyBorder="1"/>
    <xf numFmtId="0" fontId="22" fillId="5" borderId="12" xfId="0" applyFont="1" applyFill="1" applyBorder="1"/>
    <xf numFmtId="0" fontId="19" fillId="0" borderId="0" xfId="0" applyFont="1" applyFill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0" fillId="6" borderId="13" xfId="7" applyFill="1" applyBorder="1">
      <alignment horizontal="center"/>
    </xf>
    <xf numFmtId="0" fontId="19" fillId="6" borderId="13" xfId="7" applyFont="1" applyFill="1" applyBorder="1">
      <alignment horizontal="center"/>
    </xf>
    <xf numFmtId="0" fontId="18" fillId="5" borderId="14" xfId="0" applyFont="1" applyFill="1" applyBorder="1"/>
    <xf numFmtId="0" fontId="20" fillId="7" borderId="13" xfId="7" applyFont="1" applyFill="1" applyBorder="1" applyAlignment="1">
      <alignment horizontal="left"/>
    </xf>
    <xf numFmtId="0" fontId="20" fillId="7" borderId="13" xfId="7" applyFont="1" applyFill="1" applyBorder="1">
      <alignment horizontal="center"/>
    </xf>
    <xf numFmtId="0" fontId="22" fillId="0" borderId="0" xfId="0" applyFont="1" applyFill="1" applyBorder="1"/>
    <xf numFmtId="0" fontId="22" fillId="0" borderId="5" xfId="2" applyFont="1" applyFill="1" applyBorder="1" applyAlignment="1">
      <alignment horizontal="center"/>
    </xf>
    <xf numFmtId="3" fontId="22" fillId="0" borderId="5" xfId="3" applyNumberFormat="1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1" fillId="0" borderId="15" xfId="0" applyFont="1" applyFill="1" applyBorder="1"/>
    <xf numFmtId="0" fontId="1" fillId="0" borderId="15" xfId="2" applyFont="1" applyFill="1" applyBorder="1" applyAlignment="1">
      <alignment horizontal="center"/>
    </xf>
    <xf numFmtId="3" fontId="1" fillId="0" borderId="15" xfId="3" applyNumberFormat="1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Border="1" applyAlignment="1">
      <alignment horizontal="left" indent="2"/>
    </xf>
    <xf numFmtId="10" fontId="1" fillId="0" borderId="5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5" xfId="0" applyFont="1" applyBorder="1"/>
    <xf numFmtId="10" fontId="1" fillId="0" borderId="15" xfId="0" applyNumberFormat="1" applyFont="1" applyBorder="1" applyAlignment="1">
      <alignment horizontal="center"/>
    </xf>
    <xf numFmtId="0" fontId="20" fillId="6" borderId="13" xfId="7" applyFont="1" applyFill="1" applyBorder="1" applyAlignment="1">
      <alignment horizontal="left"/>
    </xf>
    <xf numFmtId="0" fontId="20" fillId="6" borderId="13" xfId="7" applyFont="1" applyFill="1" applyBorder="1">
      <alignment horizontal="center"/>
    </xf>
    <xf numFmtId="0" fontId="1" fillId="0" borderId="16" xfId="0" applyFont="1" applyBorder="1"/>
    <xf numFmtId="0" fontId="1" fillId="0" borderId="16" xfId="0" applyFont="1" applyBorder="1" applyAlignment="1">
      <alignment horizontal="center"/>
    </xf>
    <xf numFmtId="0" fontId="19" fillId="0" borderId="0" xfId="0" applyFont="1" applyFill="1" applyBorder="1"/>
    <xf numFmtId="0" fontId="9" fillId="0" borderId="15" xfId="0" applyFont="1" applyFill="1" applyBorder="1"/>
    <xf numFmtId="167" fontId="8" fillId="0" borderId="15" xfId="5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15" xfId="0" applyBorder="1"/>
    <xf numFmtId="0" fontId="0" fillId="0" borderId="15" xfId="0" applyBorder="1" applyAlignment="1">
      <alignment horizontal="center"/>
    </xf>
  </cellXfs>
  <cellStyles count="8">
    <cellStyle name="Calculation" xfId="3" builtinId="22" customBuiltin="1"/>
    <cellStyle name="Comma" xfId="5" builtinId="3"/>
    <cellStyle name="Currency" xfId="4" builtinId="4"/>
    <cellStyle name="Heading 2" xfId="1" builtinId="17" customBuiltin="1"/>
    <cellStyle name="Input" xfId="2" builtinId="20" customBuiltin="1"/>
    <cellStyle name="Normal" xfId="0" builtinId="0"/>
    <cellStyle name="Style 1" xfId="6"/>
    <cellStyle name="Style 2" xfId="7"/>
  </cellStyles>
  <dxfs count="0"/>
  <tableStyles count="0"/>
  <colors>
    <mruColors>
      <color rgb="FF777777"/>
      <color rgb="FFE0E9F4"/>
      <color rgb="FFAED4B4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3.3569335083114611E-2"/>
          <c:y val="2.7777777777777776E-2"/>
        </c:manualLayout>
      </c:layout>
    </c:title>
    <c:plotArea>
      <c:layout>
        <c:manualLayout>
          <c:layoutTarget val="inner"/>
          <c:xMode val="edge"/>
          <c:yMode val="edge"/>
          <c:x val="0.41022965879265094"/>
          <c:y val="0.14351851851851852"/>
          <c:w val="0.50736548556430461"/>
          <c:h val="0.51112350539515894"/>
        </c:manualLayout>
      </c:layout>
      <c:barChart>
        <c:barDir val="col"/>
        <c:grouping val="clustered"/>
        <c:ser>
          <c:idx val="0"/>
          <c:order val="0"/>
          <c:tx>
            <c:strRef>
              <c:f>'Disputed Invoice Summary'!$B$7</c:f>
              <c:strCache>
                <c:ptCount val="1"/>
                <c:pt idx="0">
                  <c:v>&lt;30 days</c:v>
                </c:pt>
              </c:strCache>
            </c:strRef>
          </c:tx>
          <c:cat>
            <c:strRef>
              <c:f>('Disputed Invoice Summary'!$A$8:$A$9,'Disputed Invoice Summary'!$A$11)</c:f>
              <c:strCache>
                <c:ptCount val="3"/>
                <c:pt idx="0">
                  <c:v>Number of unique disputed invoices</c:v>
                </c:pt>
                <c:pt idx="1">
                  <c:v>Number of disputed invoice line items</c:v>
                </c:pt>
                <c:pt idx="2">
                  <c:v>Number of vendors with disputed invoices</c:v>
                </c:pt>
              </c:strCache>
            </c:strRef>
          </c:cat>
          <c:val>
            <c:numRef>
              <c:f>('Disputed Invoice Summary'!$B$8:$B$9,'Disputed Invoice Summary'!$B$11)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'Disputed Invoice Summary'!$C$7</c:f>
              <c:strCache>
                <c:ptCount val="1"/>
                <c:pt idx="0">
                  <c:v>30-60 days</c:v>
                </c:pt>
              </c:strCache>
            </c:strRef>
          </c:tx>
          <c:cat>
            <c:strRef>
              <c:f>('Disputed Invoice Summary'!$A$8:$A$9,'Disputed Invoice Summary'!$A$11)</c:f>
              <c:strCache>
                <c:ptCount val="3"/>
                <c:pt idx="0">
                  <c:v>Number of unique disputed invoices</c:v>
                </c:pt>
                <c:pt idx="1">
                  <c:v>Number of disputed invoice line items</c:v>
                </c:pt>
                <c:pt idx="2">
                  <c:v>Number of vendors with disputed invoices</c:v>
                </c:pt>
              </c:strCache>
            </c:strRef>
          </c:cat>
          <c:val>
            <c:numRef>
              <c:f>('Disputed Invoice Summary'!$C$8:$C$9,'Disputed Invoice Summary'!$C$11)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#,##0">
                  <c:v>0</c:v>
                </c:pt>
              </c:numCache>
            </c:numRef>
          </c:val>
        </c:ser>
        <c:ser>
          <c:idx val="2"/>
          <c:order val="2"/>
          <c:tx>
            <c:strRef>
              <c:f>'Disputed Invoice Summary'!$D$7</c:f>
              <c:strCache>
                <c:ptCount val="1"/>
                <c:pt idx="0">
                  <c:v>61-90 Days</c:v>
                </c:pt>
              </c:strCache>
            </c:strRef>
          </c:tx>
          <c:cat>
            <c:strRef>
              <c:f>('Disputed Invoice Summary'!$A$8:$A$9,'Disputed Invoice Summary'!$A$11)</c:f>
              <c:strCache>
                <c:ptCount val="3"/>
                <c:pt idx="0">
                  <c:v>Number of unique disputed invoices</c:v>
                </c:pt>
                <c:pt idx="1">
                  <c:v>Number of disputed invoice line items</c:v>
                </c:pt>
                <c:pt idx="2">
                  <c:v>Number of vendors with disputed invoices</c:v>
                </c:pt>
              </c:strCache>
            </c:strRef>
          </c:cat>
          <c:val>
            <c:numRef>
              <c:f>('Disputed Invoice Summary'!$D$8:$D$9,'Disputed Invoice Summary'!$D$11)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#,##0">
                  <c:v>0</c:v>
                </c:pt>
              </c:numCache>
            </c:numRef>
          </c:val>
        </c:ser>
        <c:ser>
          <c:idx val="3"/>
          <c:order val="3"/>
          <c:tx>
            <c:strRef>
              <c:f>'Disputed Invoice Summary'!$E$7</c:f>
              <c:strCache>
                <c:ptCount val="1"/>
                <c:pt idx="0">
                  <c:v>&gt;90 Days</c:v>
                </c:pt>
              </c:strCache>
            </c:strRef>
          </c:tx>
          <c:cat>
            <c:strRef>
              <c:f>('Disputed Invoice Summary'!$A$8:$A$9,'Disputed Invoice Summary'!$A$11)</c:f>
              <c:strCache>
                <c:ptCount val="3"/>
                <c:pt idx="0">
                  <c:v>Number of unique disputed invoices</c:v>
                </c:pt>
                <c:pt idx="1">
                  <c:v>Number of disputed invoice line items</c:v>
                </c:pt>
                <c:pt idx="2">
                  <c:v>Number of vendors with disputed invoices</c:v>
                </c:pt>
              </c:strCache>
            </c:strRef>
          </c:cat>
          <c:val>
            <c:numRef>
              <c:f>('Disputed Invoice Summary'!$E$8:$E$9,'Disputed Invoice Summary'!$E$11)</c:f>
              <c:numCache>
                <c:formatCode>General</c:formatCode>
                <c:ptCount val="3"/>
                <c:pt idx="0">
                  <c:v>21</c:v>
                </c:pt>
                <c:pt idx="1">
                  <c:v>24</c:v>
                </c:pt>
                <c:pt idx="2" formatCode="#,##0">
                  <c:v>14</c:v>
                </c:pt>
              </c:numCache>
            </c:numRef>
          </c:val>
        </c:ser>
        <c:ser>
          <c:idx val="4"/>
          <c:order val="4"/>
          <c:tx>
            <c:strRef>
              <c:f>'Disputed Invoice Summary'!$F$7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('Disputed Invoice Summary'!$A$8:$A$9,'Disputed Invoice Summary'!$A$11)</c:f>
              <c:strCache>
                <c:ptCount val="3"/>
                <c:pt idx="0">
                  <c:v>Number of unique disputed invoices</c:v>
                </c:pt>
                <c:pt idx="1">
                  <c:v>Number of disputed invoice line items</c:v>
                </c:pt>
                <c:pt idx="2">
                  <c:v>Number of vendors with disputed invoices</c:v>
                </c:pt>
              </c:strCache>
            </c:strRef>
          </c:cat>
          <c:val>
            <c:numRef>
              <c:f>('Disputed Invoice Summary'!$F$8:$F$9,'Disputed Invoice Summary'!$F$11)</c:f>
              <c:numCache>
                <c:formatCode>General</c:formatCode>
                <c:ptCount val="3"/>
                <c:pt idx="0">
                  <c:v>21</c:v>
                </c:pt>
                <c:pt idx="1">
                  <c:v>24</c:v>
                </c:pt>
                <c:pt idx="2">
                  <c:v>14</c:v>
                </c:pt>
              </c:numCache>
            </c:numRef>
          </c:val>
        </c:ser>
        <c:axId val="67841024"/>
        <c:axId val="67875584"/>
      </c:barChart>
      <c:catAx>
        <c:axId val="67841024"/>
        <c:scaling>
          <c:orientation val="minMax"/>
        </c:scaling>
        <c:axPos val="b"/>
        <c:majorTickMark val="none"/>
        <c:tickLblPos val="nextTo"/>
        <c:txPr>
          <a:bodyPr rot="-960000" vert="horz" anchor="t" anchorCtr="0"/>
          <a:lstStyle/>
          <a:p>
            <a:pPr>
              <a:defRPr/>
            </a:pPr>
            <a:endParaRPr lang="en-US"/>
          </a:p>
        </c:txPr>
        <c:crossAx val="67875584"/>
        <c:crosses val="autoZero"/>
        <c:auto val="1"/>
        <c:lblAlgn val="ctr"/>
        <c:lblOffset val="100"/>
      </c:catAx>
      <c:valAx>
        <c:axId val="6787558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67841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2.7777777777777776E-2"/>
          <c:y val="0.18981481481481483"/>
          <c:w val="0.17210979877515312"/>
          <c:h val="0.41858595800524934"/>
        </c:manualLayout>
      </c:layout>
    </c:legend>
    <c:plotVisOnly val="1"/>
  </c:chart>
  <c:printSettings>
    <c:headerFooter/>
    <c:pageMargins b="0.75000000000000355" l="0.70000000000000062" r="0.70000000000000062" t="0.75000000000000355" header="0.30000000000000032" footer="0.30000000000000032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layoutTarget val="inner"/>
          <c:xMode val="edge"/>
          <c:yMode val="edge"/>
          <c:x val="0.17500000000000004"/>
          <c:y val="0.18518518518518559"/>
          <c:w val="0.63055555555555565"/>
          <c:h val="0.64930555555555736"/>
        </c:manualLayout>
      </c:layout>
      <c:barChart>
        <c:barDir val="col"/>
        <c:grouping val="clustered"/>
        <c:ser>
          <c:idx val="0"/>
          <c:order val="0"/>
          <c:tx>
            <c:strRef>
              <c:f>'Disputed Invoice Summary'!$B$7</c:f>
              <c:strCache>
                <c:ptCount val="1"/>
                <c:pt idx="0">
                  <c:v>&lt;30 days</c:v>
                </c:pt>
              </c:strCache>
            </c:strRef>
          </c:tx>
          <c:cat>
            <c:strRef>
              <c:f>('Disputed Invoice Summary'!$A$10,'Disputed Invoice Summary'!$A$12)</c:f>
              <c:strCache>
                <c:ptCount val="2"/>
                <c:pt idx="0">
                  <c:v>Total disputed invoice amount ($)</c:v>
                </c:pt>
                <c:pt idx="1">
                  <c:v>Amount of EPD at risk</c:v>
                </c:pt>
              </c:strCache>
            </c:strRef>
          </c:cat>
          <c:val>
            <c:numRef>
              <c:f>('Disputed Invoice Summary'!$B$10,'Disputed Invoice Summary'!$B$12)</c:f>
              <c:numCache>
                <c:formatCode>"$"#,##0.00_);\("$"#,##0.00\)</c:formatCode>
                <c:ptCount val="2"/>
                <c:pt idx="0" formatCode="&quot;$&quot;#,##0.0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'Disputed Invoice Summary'!$C$7</c:f>
              <c:strCache>
                <c:ptCount val="1"/>
                <c:pt idx="0">
                  <c:v>30-60 days</c:v>
                </c:pt>
              </c:strCache>
            </c:strRef>
          </c:tx>
          <c:cat>
            <c:strRef>
              <c:f>('Disputed Invoice Summary'!$A$10,'Disputed Invoice Summary'!$A$12)</c:f>
              <c:strCache>
                <c:ptCount val="2"/>
                <c:pt idx="0">
                  <c:v>Total disputed invoice amount ($)</c:v>
                </c:pt>
                <c:pt idx="1">
                  <c:v>Amount of EPD at risk</c:v>
                </c:pt>
              </c:strCache>
            </c:strRef>
          </c:cat>
          <c:val>
            <c:numRef>
              <c:f>('Disputed Invoice Summary'!$C$10,'Disputed Invoice Summary'!$C$12)</c:f>
              <c:numCache>
                <c:formatCode>"$"#,##0.00_);\("$"#,##0.00\)</c:formatCode>
                <c:ptCount val="2"/>
                <c:pt idx="0" formatCode="&quot;$&quot;#,##0.0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'Disputed Invoice Summary'!$D$7</c:f>
              <c:strCache>
                <c:ptCount val="1"/>
                <c:pt idx="0">
                  <c:v>61-90 Days</c:v>
                </c:pt>
              </c:strCache>
            </c:strRef>
          </c:tx>
          <c:cat>
            <c:strRef>
              <c:f>('Disputed Invoice Summary'!$A$10,'Disputed Invoice Summary'!$A$12)</c:f>
              <c:strCache>
                <c:ptCount val="2"/>
                <c:pt idx="0">
                  <c:v>Total disputed invoice amount ($)</c:v>
                </c:pt>
                <c:pt idx="1">
                  <c:v>Amount of EPD at risk</c:v>
                </c:pt>
              </c:strCache>
            </c:strRef>
          </c:cat>
          <c:val>
            <c:numRef>
              <c:f>('Disputed Invoice Summary'!$D$10,'Disputed Invoice Summary'!$D$12)</c:f>
              <c:numCache>
                <c:formatCode>"$"#,##0.00_);\("$"#,##0.00\)</c:formatCode>
                <c:ptCount val="2"/>
                <c:pt idx="0" formatCode="&quot;$&quot;#,##0.0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'Disputed Invoice Summary'!$E$7</c:f>
              <c:strCache>
                <c:ptCount val="1"/>
                <c:pt idx="0">
                  <c:v>&gt;90 Days</c:v>
                </c:pt>
              </c:strCache>
            </c:strRef>
          </c:tx>
          <c:cat>
            <c:strRef>
              <c:f>('Disputed Invoice Summary'!$A$10,'Disputed Invoice Summary'!$A$12)</c:f>
              <c:strCache>
                <c:ptCount val="2"/>
                <c:pt idx="0">
                  <c:v>Total disputed invoice amount ($)</c:v>
                </c:pt>
                <c:pt idx="1">
                  <c:v>Amount of EPD at risk</c:v>
                </c:pt>
              </c:strCache>
            </c:strRef>
          </c:cat>
          <c:val>
            <c:numRef>
              <c:f>('Disputed Invoice Summary'!$E$10,'Disputed Invoice Summary'!$E$12)</c:f>
              <c:numCache>
                <c:formatCode>"$"#,##0.00_);\("$"#,##0.00\)</c:formatCode>
                <c:ptCount val="2"/>
                <c:pt idx="0" formatCode="&quot;$&quot;#,##0.00">
                  <c:v>18180.099999999999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'Disputed Invoice Summary'!$F$7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('Disputed Invoice Summary'!$A$10,'Disputed Invoice Summary'!$A$12)</c:f>
              <c:strCache>
                <c:ptCount val="2"/>
                <c:pt idx="0">
                  <c:v>Total disputed invoice amount ($)</c:v>
                </c:pt>
                <c:pt idx="1">
                  <c:v>Amount of EPD at risk</c:v>
                </c:pt>
              </c:strCache>
            </c:strRef>
          </c:cat>
          <c:val>
            <c:numRef>
              <c:f>('Disputed Invoice Summary'!$F$10,'Disputed Invoice Summary'!$F$12)</c:f>
              <c:numCache>
                <c:formatCode>"$"#,##0.00_);\("$"#,##0.00\)</c:formatCode>
                <c:ptCount val="2"/>
                <c:pt idx="0" formatCode="&quot;$&quot;#,##0.00">
                  <c:v>18180.099999999999</c:v>
                </c:pt>
                <c:pt idx="1">
                  <c:v>0</c:v>
                </c:pt>
              </c:numCache>
            </c:numRef>
          </c:val>
        </c:ser>
        <c:axId val="68199936"/>
        <c:axId val="68309376"/>
      </c:barChart>
      <c:catAx>
        <c:axId val="68199936"/>
        <c:scaling>
          <c:orientation val="minMax"/>
        </c:scaling>
        <c:axPos val="b"/>
        <c:majorTickMark val="none"/>
        <c:tickLblPos val="nextTo"/>
        <c:crossAx val="68309376"/>
        <c:crosses val="autoZero"/>
        <c:auto val="1"/>
        <c:lblAlgn val="ctr"/>
        <c:lblOffset val="100"/>
      </c:catAx>
      <c:valAx>
        <c:axId val="68309376"/>
        <c:scaling>
          <c:orientation val="minMax"/>
        </c:scaling>
        <c:axPos val="l"/>
        <c:majorGridlines/>
        <c:numFmt formatCode="&quot;$&quot;#,##0.00" sourceLinked="1"/>
        <c:majorTickMark val="none"/>
        <c:tickLblPos val="nextTo"/>
        <c:crossAx val="68199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55" l="0.70000000000000062" r="0.70000000000000062" t="0.75000000000000355" header="0.30000000000000032" footer="0.30000000000000032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layoutTarget val="inner"/>
          <c:xMode val="edge"/>
          <c:yMode val="edge"/>
          <c:x val="6.9444444444444503E-2"/>
          <c:y val="0.18981481481481491"/>
          <c:w val="0.73055555555555562"/>
          <c:h val="0.40625"/>
        </c:manualLayout>
      </c:layout>
      <c:barChart>
        <c:barDir val="col"/>
        <c:grouping val="clustered"/>
        <c:ser>
          <c:idx val="0"/>
          <c:order val="0"/>
          <c:tx>
            <c:strRef>
              <c:f>'Disputed Invoice Summary'!$B$16</c:f>
              <c:strCache>
                <c:ptCount val="1"/>
                <c:pt idx="0">
                  <c:v>&lt;30 days</c:v>
                </c:pt>
              </c:strCache>
            </c:strRef>
          </c:tx>
          <c:cat>
            <c:strRef>
              <c:f>'Disputed Invoice Summary'!$A$17:$A$25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Summary'!$B$17:$B$25</c:f>
              <c:numCache>
                <c:formatCode>_(* #,##0_);_(* \(#,##0\);_(*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'Disputed Invoice Summary'!$C$16</c:f>
              <c:strCache>
                <c:ptCount val="1"/>
                <c:pt idx="0">
                  <c:v>30-60 days</c:v>
                </c:pt>
              </c:strCache>
            </c:strRef>
          </c:tx>
          <c:cat>
            <c:strRef>
              <c:f>'Disputed Invoice Summary'!$A$17:$A$25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Summary'!$C$17:$C$25</c:f>
              <c:numCache>
                <c:formatCode>_(* #,##0_);_(* \(#,##0\);_(*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2"/>
          <c:order val="2"/>
          <c:tx>
            <c:strRef>
              <c:f>'Disputed Invoice Summary'!$D$16</c:f>
              <c:strCache>
                <c:ptCount val="1"/>
                <c:pt idx="0">
                  <c:v>61-90 Days</c:v>
                </c:pt>
              </c:strCache>
            </c:strRef>
          </c:tx>
          <c:cat>
            <c:strRef>
              <c:f>'Disputed Invoice Summary'!$A$17:$A$25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Summary'!$D$17:$D$25</c:f>
              <c:numCache>
                <c:formatCode>_(* #,##0_);_(* \(#,##0\);_(*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3"/>
          <c:order val="3"/>
          <c:tx>
            <c:strRef>
              <c:f>'Disputed Invoice Summary'!$E$16</c:f>
              <c:strCache>
                <c:ptCount val="1"/>
                <c:pt idx="0">
                  <c:v>&gt;90 Days</c:v>
                </c:pt>
              </c:strCache>
            </c:strRef>
          </c:tx>
          <c:cat>
            <c:strRef>
              <c:f>'Disputed Invoice Summary'!$A$17:$A$25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Summary'!$E$17:$E$25</c:f>
              <c:numCache>
                <c:formatCode>_(* #,##0_);_(* \(#,##0\);_(* "-"??_);_(@_)</c:formatCode>
                <c:ptCount val="9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</c:numCache>
            </c:numRef>
          </c:val>
        </c:ser>
        <c:axId val="69239168"/>
        <c:axId val="69241472"/>
      </c:barChart>
      <c:catAx>
        <c:axId val="69239168"/>
        <c:scaling>
          <c:orientation val="minMax"/>
        </c:scaling>
        <c:axPos val="b"/>
        <c:majorTickMark val="none"/>
        <c:tickLblPos val="nextTo"/>
        <c:crossAx val="69241472"/>
        <c:crosses val="autoZero"/>
        <c:auto val="1"/>
        <c:lblAlgn val="ctr"/>
        <c:lblOffset val="100"/>
      </c:catAx>
      <c:valAx>
        <c:axId val="69241472"/>
        <c:scaling>
          <c:orientation val="minMax"/>
        </c:scaling>
        <c:axPos val="l"/>
        <c:majorGridlines/>
        <c:numFmt formatCode="_(* #,##0_);_(* \(#,##0\);_(* &quot;-&quot;??_);_(@_)" sourceLinked="1"/>
        <c:majorTickMark val="none"/>
        <c:tickLblPos val="nextTo"/>
        <c:crossAx val="692391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layoutTarget val="inner"/>
          <c:xMode val="edge"/>
          <c:yMode val="edge"/>
          <c:x val="0.15833333333333394"/>
          <c:y val="0.19907407407407407"/>
          <c:w val="0.62222222222222223"/>
          <c:h val="0.40625"/>
        </c:manualLayout>
      </c:layout>
      <c:barChart>
        <c:barDir val="col"/>
        <c:grouping val="clustered"/>
        <c:ser>
          <c:idx val="0"/>
          <c:order val="0"/>
          <c:tx>
            <c:strRef>
              <c:f>'Disputed Invoice Summary'!$B$30</c:f>
              <c:strCache>
                <c:ptCount val="1"/>
                <c:pt idx="0">
                  <c:v>&lt;30 days</c:v>
                </c:pt>
              </c:strCache>
            </c:strRef>
          </c:tx>
          <c:cat>
            <c:strRef>
              <c:f>'Disputed Invoice Summary'!$A$31:$A$39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Summary'!$B$31:$B$39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'Disputed Invoice Summary'!$C$30</c:f>
              <c:strCache>
                <c:ptCount val="1"/>
                <c:pt idx="0">
                  <c:v>30-60 days</c:v>
                </c:pt>
              </c:strCache>
            </c:strRef>
          </c:tx>
          <c:cat>
            <c:strRef>
              <c:f>'Disputed Invoice Summary'!$A$31:$A$39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Summary'!$C$31:$C$39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2"/>
          <c:order val="2"/>
          <c:tx>
            <c:strRef>
              <c:f>'Disputed Invoice Summary'!$D$30</c:f>
              <c:strCache>
                <c:ptCount val="1"/>
                <c:pt idx="0">
                  <c:v>61-90 Days</c:v>
                </c:pt>
              </c:strCache>
            </c:strRef>
          </c:tx>
          <c:cat>
            <c:strRef>
              <c:f>'Disputed Invoice Summary'!$A$31:$A$39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Summary'!$D$31:$D$39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3"/>
          <c:order val="3"/>
          <c:tx>
            <c:strRef>
              <c:f>'Disputed Invoice Summary'!$E$30</c:f>
              <c:strCache>
                <c:ptCount val="1"/>
                <c:pt idx="0">
                  <c:v>&gt;90 Days</c:v>
                </c:pt>
              </c:strCache>
            </c:strRef>
          </c:tx>
          <c:cat>
            <c:strRef>
              <c:f>'Disputed Invoice Summary'!$A$31:$A$39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Summary'!$E$31:$E$39</c:f>
              <c:numCache>
                <c:formatCode>_("$"* #,##0.00_);_("$"* \(#,##0.00\);_("$"* "-"??_);_(@_)</c:formatCode>
                <c:ptCount val="9"/>
                <c:pt idx="0">
                  <c:v>2301.1</c:v>
                </c:pt>
                <c:pt idx="1">
                  <c:v>6522</c:v>
                </c:pt>
                <c:pt idx="2">
                  <c:v>8357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1000</c:v>
                </c:pt>
              </c:numCache>
            </c:numRef>
          </c:val>
        </c:ser>
        <c:ser>
          <c:idx val="4"/>
          <c:order val="4"/>
          <c:tx>
            <c:strRef>
              <c:f>'Disputed Invoice Summary'!$F$30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'Disputed Invoice Summary'!$A$31:$A$39</c:f>
              <c:strCache>
                <c:ptCount val="9"/>
                <c:pt idx="0">
                  <c:v>Quantity</c:v>
                </c:pt>
                <c:pt idx="1">
                  <c:v>Price</c:v>
                </c:pt>
                <c:pt idx="2">
                  <c:v>PO never created</c:v>
                </c:pt>
                <c:pt idx="3">
                  <c:v>Missing terms</c:v>
                </c:pt>
                <c:pt idx="4">
                  <c:v>Different terms</c:v>
                </c:pt>
                <c:pt idx="5">
                  <c:v>Duplicate invoice</c:v>
                </c:pt>
                <c:pt idx="6">
                  <c:v>PO already invoiced</c:v>
                </c:pt>
                <c:pt idx="7">
                  <c:v>PO never issued</c:v>
                </c:pt>
                <c:pt idx="8">
                  <c:v>Other</c:v>
                </c:pt>
              </c:strCache>
            </c:strRef>
          </c:cat>
          <c:val>
            <c:numRef>
              <c:f>'Disputed Invoice Summary'!$F$31:$F$39</c:f>
              <c:numCache>
                <c:formatCode>_("$"* #,##0.00_);_("$"* \(#,##0.00\);_("$"* "-"??_);_(@_)</c:formatCode>
                <c:ptCount val="9"/>
                <c:pt idx="0">
                  <c:v>2301.1</c:v>
                </c:pt>
                <c:pt idx="1">
                  <c:v>6522</c:v>
                </c:pt>
                <c:pt idx="2">
                  <c:v>8357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1000</c:v>
                </c:pt>
              </c:numCache>
            </c:numRef>
          </c:val>
        </c:ser>
        <c:axId val="56456704"/>
        <c:axId val="56458240"/>
      </c:barChart>
      <c:catAx>
        <c:axId val="56456704"/>
        <c:scaling>
          <c:orientation val="minMax"/>
        </c:scaling>
        <c:axPos val="b"/>
        <c:majorTickMark val="none"/>
        <c:tickLblPos val="nextTo"/>
        <c:crossAx val="56458240"/>
        <c:crosses val="autoZero"/>
        <c:auto val="1"/>
        <c:lblAlgn val="ctr"/>
        <c:lblOffset val="100"/>
      </c:catAx>
      <c:valAx>
        <c:axId val="56458240"/>
        <c:scaling>
          <c:orientation val="minMax"/>
        </c:scaling>
        <c:axPos val="l"/>
        <c:majorGridlines/>
        <c:numFmt formatCode="_(&quot;$&quot;* #,##0.00_);_(&quot;$&quot;* \(#,##0.00\);_(&quot;$&quot;* &quot;-&quot;??_);_(@_)" sourceLinked="1"/>
        <c:majorTickMark val="none"/>
        <c:tickLblPos val="nextTo"/>
        <c:crossAx val="564567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layoutTarget val="inner"/>
          <c:xMode val="edge"/>
          <c:yMode val="edge"/>
          <c:x val="0.1277777777777778"/>
          <c:y val="0.21759259259259336"/>
          <c:w val="0.65277777777777934"/>
          <c:h val="0.6712962962962985"/>
        </c:manualLayout>
      </c:layout>
      <c:barChart>
        <c:barDir val="col"/>
        <c:grouping val="clustered"/>
        <c:ser>
          <c:idx val="0"/>
          <c:order val="0"/>
          <c:tx>
            <c:strRef>
              <c:f>'Disputed Invoice Summary'!$A$45</c:f>
              <c:strCache>
                <c:ptCount val="1"/>
                <c:pt idx="0">
                  <c:v>Buck, Sven</c:v>
                </c:pt>
              </c:strCache>
            </c:strRef>
          </c:tx>
          <c:cat>
            <c:strRef>
              <c:f>'Disputed Invoice Summary'!$B$44:$E$44</c:f>
              <c:strCache>
                <c:ptCount val="4"/>
                <c:pt idx="0">
                  <c:v>&lt;30 days</c:v>
                </c:pt>
                <c:pt idx="1">
                  <c:v>30-60 days</c:v>
                </c:pt>
                <c:pt idx="2">
                  <c:v>61-90 Days</c:v>
                </c:pt>
                <c:pt idx="3">
                  <c:v>&gt;90 Days</c:v>
                </c:pt>
              </c:strCache>
            </c:strRef>
          </c:cat>
          <c:val>
            <c:numRef>
              <c:f>'Disputed Invoice Summary'!$B$45:$E$45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</c:ser>
        <c:ser>
          <c:idx val="1"/>
          <c:order val="1"/>
          <c:tx>
            <c:strRef>
              <c:f>'Disputed Invoice Summary'!$A$46</c:f>
              <c:strCache>
                <c:ptCount val="1"/>
                <c:pt idx="0">
                  <c:v>Lengyel, Attila</c:v>
                </c:pt>
              </c:strCache>
            </c:strRef>
          </c:tx>
          <c:cat>
            <c:strRef>
              <c:f>'Disputed Invoice Summary'!$B$44:$E$44</c:f>
              <c:strCache>
                <c:ptCount val="4"/>
                <c:pt idx="0">
                  <c:v>&lt;30 days</c:v>
                </c:pt>
                <c:pt idx="1">
                  <c:v>30-60 days</c:v>
                </c:pt>
                <c:pt idx="2">
                  <c:v>61-90 Days</c:v>
                </c:pt>
                <c:pt idx="3">
                  <c:v>&gt;90 Days</c:v>
                </c:pt>
              </c:strCache>
            </c:strRef>
          </c:cat>
          <c:val>
            <c:numRef>
              <c:f>'Disputed Invoice Summary'!$B$46:$E$46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</c:ser>
        <c:ser>
          <c:idx val="2"/>
          <c:order val="2"/>
          <c:tx>
            <c:strRef>
              <c:f>'Disputed Invoice Summary'!$A$47</c:f>
              <c:strCache>
                <c:ptCount val="1"/>
                <c:pt idx="0">
                  <c:v>Daly, Jim</c:v>
                </c:pt>
              </c:strCache>
            </c:strRef>
          </c:tx>
          <c:cat>
            <c:strRef>
              <c:f>'Disputed Invoice Summary'!$B$44:$E$44</c:f>
              <c:strCache>
                <c:ptCount val="4"/>
                <c:pt idx="0">
                  <c:v>&lt;30 days</c:v>
                </c:pt>
                <c:pt idx="1">
                  <c:v>30-60 days</c:v>
                </c:pt>
                <c:pt idx="2">
                  <c:v>61-90 Days</c:v>
                </c:pt>
                <c:pt idx="3">
                  <c:v>&gt;90 Days</c:v>
                </c:pt>
              </c:strCache>
            </c:strRef>
          </c:cat>
          <c:val>
            <c:numRef>
              <c:f>'Disputed Invoice Summary'!$B$47:$E$47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6484224"/>
        <c:axId val="56485760"/>
      </c:barChart>
      <c:catAx>
        <c:axId val="56484224"/>
        <c:scaling>
          <c:orientation val="minMax"/>
        </c:scaling>
        <c:axPos val="b"/>
        <c:majorTickMark val="none"/>
        <c:tickLblPos val="nextTo"/>
        <c:crossAx val="56485760"/>
        <c:crosses val="autoZero"/>
        <c:auto val="1"/>
        <c:lblAlgn val="ctr"/>
        <c:lblOffset val="100"/>
      </c:catAx>
      <c:valAx>
        <c:axId val="56485760"/>
        <c:scaling>
          <c:orientation val="minMax"/>
        </c:scaling>
        <c:axPos val="l"/>
        <c:majorGridlines/>
        <c:numFmt formatCode="_(* #,##0_);_(* \(#,##0\);_(* &quot;-&quot;??_);_(@_)" sourceLinked="1"/>
        <c:majorTickMark val="none"/>
        <c:tickLblPos val="nextTo"/>
        <c:crossAx val="564842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layoutTarget val="inner"/>
          <c:xMode val="edge"/>
          <c:yMode val="edge"/>
          <c:x val="7.7777777777777779E-2"/>
          <c:y val="0.18981481481481491"/>
          <c:w val="0.7083333333333337"/>
          <c:h val="0.70138888888888884"/>
        </c:manualLayout>
      </c:layout>
      <c:barChart>
        <c:barDir val="col"/>
        <c:grouping val="clustered"/>
        <c:ser>
          <c:idx val="0"/>
          <c:order val="0"/>
          <c:tx>
            <c:strRef>
              <c:f>'Disputed Invoice Summary'!$A$53</c:f>
              <c:strCache>
                <c:ptCount val="1"/>
                <c:pt idx="0">
                  <c:v>Han, Mu</c:v>
                </c:pt>
              </c:strCache>
            </c:strRef>
          </c:tx>
          <c:cat>
            <c:strRef>
              <c:f>'Disputed Invoice Summary'!$B$52:$E$52</c:f>
              <c:strCache>
                <c:ptCount val="4"/>
                <c:pt idx="0">
                  <c:v>&lt;30 days</c:v>
                </c:pt>
                <c:pt idx="1">
                  <c:v>30-60 days</c:v>
                </c:pt>
                <c:pt idx="2">
                  <c:v>61-90 Days</c:v>
                </c:pt>
                <c:pt idx="3">
                  <c:v>&gt;90 Days</c:v>
                </c:pt>
              </c:strCache>
            </c:strRef>
          </c:cat>
          <c:val>
            <c:numRef>
              <c:f>'Disputed Invoice Summary'!$B$53:$E$53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</c:numCache>
            </c:numRef>
          </c:val>
        </c:ser>
        <c:ser>
          <c:idx val="1"/>
          <c:order val="1"/>
          <c:tx>
            <c:strRef>
              <c:f>'Disputed Invoice Summary'!$A$54</c:f>
              <c:strCache>
                <c:ptCount val="1"/>
                <c:pt idx="0">
                  <c:v>Splinter, Koos</c:v>
                </c:pt>
              </c:strCache>
            </c:strRef>
          </c:tx>
          <c:cat>
            <c:strRef>
              <c:f>'Disputed Invoice Summary'!$B$52:$E$52</c:f>
              <c:strCache>
                <c:ptCount val="4"/>
                <c:pt idx="0">
                  <c:v>&lt;30 days</c:v>
                </c:pt>
                <c:pt idx="1">
                  <c:v>30-60 days</c:v>
                </c:pt>
                <c:pt idx="2">
                  <c:v>61-90 Days</c:v>
                </c:pt>
                <c:pt idx="3">
                  <c:v>&gt;90 Days</c:v>
                </c:pt>
              </c:strCache>
            </c:strRef>
          </c:cat>
          <c:val>
            <c:numRef>
              <c:f>'Disputed Invoice Summary'!$B$54:$E$54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</c:numCache>
            </c:numRef>
          </c:val>
        </c:ser>
        <c:ser>
          <c:idx val="2"/>
          <c:order val="2"/>
          <c:tx>
            <c:strRef>
              <c:f>'Disputed Invoice Summary'!$A$55</c:f>
              <c:strCache>
                <c:ptCount val="1"/>
                <c:pt idx="0">
                  <c:v>Stangl, Elke</c:v>
                </c:pt>
              </c:strCache>
            </c:strRef>
          </c:tx>
          <c:cat>
            <c:strRef>
              <c:f>'Disputed Invoice Summary'!$B$52:$E$52</c:f>
              <c:strCache>
                <c:ptCount val="4"/>
                <c:pt idx="0">
                  <c:v>&lt;30 days</c:v>
                </c:pt>
                <c:pt idx="1">
                  <c:v>30-60 days</c:v>
                </c:pt>
                <c:pt idx="2">
                  <c:v>61-90 Days</c:v>
                </c:pt>
                <c:pt idx="3">
                  <c:v>&gt;90 Days</c:v>
                </c:pt>
              </c:strCache>
            </c:strRef>
          </c:cat>
          <c:val>
            <c:numRef>
              <c:f>'Disputed Invoice Summary'!$B$55:$E$55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</c:numCache>
            </c:numRef>
          </c:val>
        </c:ser>
        <c:axId val="56826880"/>
        <c:axId val="56832768"/>
      </c:barChart>
      <c:catAx>
        <c:axId val="56826880"/>
        <c:scaling>
          <c:orientation val="minMax"/>
        </c:scaling>
        <c:axPos val="b"/>
        <c:majorTickMark val="none"/>
        <c:tickLblPos val="nextTo"/>
        <c:crossAx val="56832768"/>
        <c:crosses val="autoZero"/>
        <c:auto val="1"/>
        <c:lblAlgn val="ctr"/>
        <c:lblOffset val="100"/>
      </c:catAx>
      <c:valAx>
        <c:axId val="56832768"/>
        <c:scaling>
          <c:orientation val="minMax"/>
        </c:scaling>
        <c:axPos val="l"/>
        <c:majorGridlines/>
        <c:numFmt formatCode="_(* #,##0_);_(* \(#,##0\);_(* &quot;-&quot;??_);_(@_)" sourceLinked="1"/>
        <c:majorTickMark val="none"/>
        <c:tickLblPos val="nextTo"/>
        <c:crossAx val="56826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layoutTarget val="inner"/>
          <c:xMode val="edge"/>
          <c:yMode val="edge"/>
          <c:x val="7.2222222222222396E-2"/>
          <c:y val="0.18981481481481491"/>
          <c:w val="0.74722222222222223"/>
          <c:h val="0.40740740740740738"/>
        </c:manualLayout>
      </c:layout>
      <c:barChart>
        <c:barDir val="col"/>
        <c:grouping val="clustered"/>
        <c:ser>
          <c:idx val="0"/>
          <c:order val="0"/>
          <c:tx>
            <c:strRef>
              <c:f>'Disputed Invoice Summary'!$B$60</c:f>
              <c:strCache>
                <c:ptCount val="1"/>
                <c:pt idx="0">
                  <c:v>&lt;30 days</c:v>
                </c:pt>
              </c:strCache>
            </c:strRef>
          </c:tx>
          <c:cat>
            <c:strRef>
              <c:f>'Disputed Invoice Summary'!$A$61:$A$74</c:f>
              <c:strCache>
                <c:ptCount val="14"/>
                <c:pt idx="0">
                  <c:v>A. Datum Corporation</c:v>
                </c:pt>
                <c:pt idx="1">
                  <c:v>Contoso, Ltd</c:v>
                </c:pt>
                <c:pt idx="2">
                  <c:v>Fourth Coffee</c:v>
                </c:pt>
                <c:pt idx="3">
                  <c:v>Graphic Design Institute</c:v>
                </c:pt>
                <c:pt idx="4">
                  <c:v>Humongous Insurance</c:v>
                </c:pt>
                <c:pt idx="5">
                  <c:v>Litware, Inc.</c:v>
                </c:pt>
                <c:pt idx="6">
                  <c:v>Margie's Travel</c:v>
                </c:pt>
                <c:pt idx="7">
                  <c:v>Northwind Traders</c:v>
                </c:pt>
                <c:pt idx="8">
                  <c:v>Proseware, Inc.</c:v>
                </c:pt>
                <c:pt idx="9">
                  <c:v>Southridge Video</c:v>
                </c:pt>
                <c:pt idx="10">
                  <c:v>Tailspin Toys</c:v>
                </c:pt>
                <c:pt idx="11">
                  <c:v>The Phone Company</c:v>
                </c:pt>
                <c:pt idx="12">
                  <c:v>Trey Research</c:v>
                </c:pt>
                <c:pt idx="13">
                  <c:v>Worldwide Importers</c:v>
                </c:pt>
              </c:strCache>
            </c:strRef>
          </c:cat>
          <c:val>
            <c:numRef>
              <c:f>'Disputed Invoice Summary'!$B$61:$B$74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'Disputed Invoice Summary'!$C$60</c:f>
              <c:strCache>
                <c:ptCount val="1"/>
                <c:pt idx="0">
                  <c:v>30-60 days</c:v>
                </c:pt>
              </c:strCache>
            </c:strRef>
          </c:tx>
          <c:cat>
            <c:strRef>
              <c:f>'Disputed Invoice Summary'!$A$61:$A$74</c:f>
              <c:strCache>
                <c:ptCount val="14"/>
                <c:pt idx="0">
                  <c:v>A. Datum Corporation</c:v>
                </c:pt>
                <c:pt idx="1">
                  <c:v>Contoso, Ltd</c:v>
                </c:pt>
                <c:pt idx="2">
                  <c:v>Fourth Coffee</c:v>
                </c:pt>
                <c:pt idx="3">
                  <c:v>Graphic Design Institute</c:v>
                </c:pt>
                <c:pt idx="4">
                  <c:v>Humongous Insurance</c:v>
                </c:pt>
                <c:pt idx="5">
                  <c:v>Litware, Inc.</c:v>
                </c:pt>
                <c:pt idx="6">
                  <c:v>Margie's Travel</c:v>
                </c:pt>
                <c:pt idx="7">
                  <c:v>Northwind Traders</c:v>
                </c:pt>
                <c:pt idx="8">
                  <c:v>Proseware, Inc.</c:v>
                </c:pt>
                <c:pt idx="9">
                  <c:v>Southridge Video</c:v>
                </c:pt>
                <c:pt idx="10">
                  <c:v>Tailspin Toys</c:v>
                </c:pt>
                <c:pt idx="11">
                  <c:v>The Phone Company</c:v>
                </c:pt>
                <c:pt idx="12">
                  <c:v>Trey Research</c:v>
                </c:pt>
                <c:pt idx="13">
                  <c:v>Worldwide Importers</c:v>
                </c:pt>
              </c:strCache>
            </c:strRef>
          </c:cat>
          <c:val>
            <c:numRef>
              <c:f>'Disputed Invoice Summary'!$C$61:$C$74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strRef>
              <c:f>'Disputed Invoice Summary'!$D$60</c:f>
              <c:strCache>
                <c:ptCount val="1"/>
                <c:pt idx="0">
                  <c:v>61-90 Days</c:v>
                </c:pt>
              </c:strCache>
            </c:strRef>
          </c:tx>
          <c:cat>
            <c:strRef>
              <c:f>'Disputed Invoice Summary'!$A$61:$A$74</c:f>
              <c:strCache>
                <c:ptCount val="14"/>
                <c:pt idx="0">
                  <c:v>A. Datum Corporation</c:v>
                </c:pt>
                <c:pt idx="1">
                  <c:v>Contoso, Ltd</c:v>
                </c:pt>
                <c:pt idx="2">
                  <c:v>Fourth Coffee</c:v>
                </c:pt>
                <c:pt idx="3">
                  <c:v>Graphic Design Institute</c:v>
                </c:pt>
                <c:pt idx="4">
                  <c:v>Humongous Insurance</c:v>
                </c:pt>
                <c:pt idx="5">
                  <c:v>Litware, Inc.</c:v>
                </c:pt>
                <c:pt idx="6">
                  <c:v>Margie's Travel</c:v>
                </c:pt>
                <c:pt idx="7">
                  <c:v>Northwind Traders</c:v>
                </c:pt>
                <c:pt idx="8">
                  <c:v>Proseware, Inc.</c:v>
                </c:pt>
                <c:pt idx="9">
                  <c:v>Southridge Video</c:v>
                </c:pt>
                <c:pt idx="10">
                  <c:v>Tailspin Toys</c:v>
                </c:pt>
                <c:pt idx="11">
                  <c:v>The Phone Company</c:v>
                </c:pt>
                <c:pt idx="12">
                  <c:v>Trey Research</c:v>
                </c:pt>
                <c:pt idx="13">
                  <c:v>Worldwide Importers</c:v>
                </c:pt>
              </c:strCache>
            </c:strRef>
          </c:cat>
          <c:val>
            <c:numRef>
              <c:f>'Disputed Invoice Summary'!$D$61:$D$74</c:f>
              <c:numCache>
                <c:formatCode>_(* #,##0_);_(* \(#,##0\);_(*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tx>
            <c:strRef>
              <c:f>'Disputed Invoice Summary'!$E$60</c:f>
              <c:strCache>
                <c:ptCount val="1"/>
                <c:pt idx="0">
                  <c:v>&gt;90 Days</c:v>
                </c:pt>
              </c:strCache>
            </c:strRef>
          </c:tx>
          <c:cat>
            <c:strRef>
              <c:f>'Disputed Invoice Summary'!$A$61:$A$74</c:f>
              <c:strCache>
                <c:ptCount val="14"/>
                <c:pt idx="0">
                  <c:v>A. Datum Corporation</c:v>
                </c:pt>
                <c:pt idx="1">
                  <c:v>Contoso, Ltd</c:v>
                </c:pt>
                <c:pt idx="2">
                  <c:v>Fourth Coffee</c:v>
                </c:pt>
                <c:pt idx="3">
                  <c:v>Graphic Design Institute</c:v>
                </c:pt>
                <c:pt idx="4">
                  <c:v>Humongous Insurance</c:v>
                </c:pt>
                <c:pt idx="5">
                  <c:v>Litware, Inc.</c:v>
                </c:pt>
                <c:pt idx="6">
                  <c:v>Margie's Travel</c:v>
                </c:pt>
                <c:pt idx="7">
                  <c:v>Northwind Traders</c:v>
                </c:pt>
                <c:pt idx="8">
                  <c:v>Proseware, Inc.</c:v>
                </c:pt>
                <c:pt idx="9">
                  <c:v>Southridge Video</c:v>
                </c:pt>
                <c:pt idx="10">
                  <c:v>Tailspin Toys</c:v>
                </c:pt>
                <c:pt idx="11">
                  <c:v>The Phone Company</c:v>
                </c:pt>
                <c:pt idx="12">
                  <c:v>Trey Research</c:v>
                </c:pt>
                <c:pt idx="13">
                  <c:v>Worldwide Importers</c:v>
                </c:pt>
              </c:strCache>
            </c:strRef>
          </c:cat>
          <c:val>
            <c:numRef>
              <c:f>'Disputed Invoice Summary'!$E$61:$E$74</c:f>
              <c:numCache>
                <c:formatCode>_(* #,##0_);_(* \(#,##0\);_(* "-"??_);_(@_)</c:formatCode>
                <c:ptCount val="1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</c:ser>
        <c:axId val="56842880"/>
        <c:axId val="56856960"/>
      </c:barChart>
      <c:catAx>
        <c:axId val="56842880"/>
        <c:scaling>
          <c:orientation val="minMax"/>
        </c:scaling>
        <c:axPos val="b"/>
        <c:majorTickMark val="none"/>
        <c:tickLblPos val="nextTo"/>
        <c:crossAx val="56856960"/>
        <c:crosses val="autoZero"/>
        <c:auto val="1"/>
        <c:lblAlgn val="ctr"/>
        <c:lblOffset val="100"/>
      </c:catAx>
      <c:valAx>
        <c:axId val="56856960"/>
        <c:scaling>
          <c:orientation val="minMax"/>
        </c:scaling>
        <c:axPos val="l"/>
        <c:majorGridlines/>
        <c:numFmt formatCode="_(* #,##0_);_(* \(#,##0\);_(* &quot;-&quot;??_);_(@_)" sourceLinked="1"/>
        <c:majorTickMark val="none"/>
        <c:tickLblPos val="nextTo"/>
        <c:crossAx val="56842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428625</xdr:colOff>
      <xdr:row>5</xdr:row>
      <xdr:rowOff>123825</xdr:rowOff>
    </xdr:from>
    <xdr:ext cx="4572000" cy="274320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14</xdr:col>
      <xdr:colOff>257175</xdr:colOff>
      <xdr:row>34</xdr:row>
      <xdr:rowOff>84044</xdr:rowOff>
    </xdr:from>
    <xdr:ext cx="4572000" cy="2743200"/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6</xdr:col>
      <xdr:colOff>428625</xdr:colOff>
      <xdr:row>19</xdr:row>
      <xdr:rowOff>106456</xdr:rowOff>
    </xdr:from>
    <xdr:ext cx="4572000" cy="2743200"/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6</xdr:col>
      <xdr:colOff>428625</xdr:colOff>
      <xdr:row>34</xdr:row>
      <xdr:rowOff>84044</xdr:rowOff>
    </xdr:from>
    <xdr:ext cx="4572000" cy="2743200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428625</xdr:colOff>
      <xdr:row>50</xdr:row>
      <xdr:rowOff>19050</xdr:rowOff>
    </xdr:from>
    <xdr:ext cx="4572000" cy="2743200"/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14</xdr:col>
      <xdr:colOff>247650</xdr:colOff>
      <xdr:row>5</xdr:row>
      <xdr:rowOff>123825</xdr:rowOff>
    </xdr:from>
    <xdr:ext cx="4572000" cy="2743200"/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14</xdr:col>
      <xdr:colOff>257175</xdr:colOff>
      <xdr:row>19</xdr:row>
      <xdr:rowOff>106456</xdr:rowOff>
    </xdr:from>
    <xdr:ext cx="4572000" cy="2743200"/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Work Essentials">
  <a:themeElements>
    <a:clrScheme name="Work Essentials">
      <a:dk1>
        <a:sysClr val="windowText" lastClr="000000"/>
      </a:dk1>
      <a:lt1>
        <a:sysClr val="window" lastClr="FFFFFF"/>
      </a:lt1>
      <a:dk2>
        <a:srgbClr val="335889"/>
      </a:dk2>
      <a:lt2>
        <a:srgbClr val="DDDDDD"/>
      </a:lt2>
      <a:accent1>
        <a:srgbClr val="648DC6"/>
      </a:accent1>
      <a:accent2>
        <a:srgbClr val="AED4B4"/>
      </a:accent2>
      <a:accent3>
        <a:srgbClr val="E0E9F4"/>
      </a:accent3>
      <a:accent4>
        <a:srgbClr val="549A65"/>
      </a:accent4>
      <a:accent5>
        <a:srgbClr val="617F95"/>
      </a:accent5>
      <a:accent6>
        <a:srgbClr val="BAC7BC"/>
      </a:accent6>
      <a:hlink>
        <a:srgbClr val="FFAD0A"/>
      </a:hlink>
      <a:folHlink>
        <a:srgbClr val="617F95"/>
      </a:folHlink>
    </a:clrScheme>
    <a:fontScheme name="Work Essential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4" tint="0.59999389629810485"/>
    <pageSetUpPr autoPageBreaks="0"/>
  </sheetPr>
  <dimension ref="A1:FB380"/>
  <sheetViews>
    <sheetView showGridLines="0" tabSelected="1" workbookViewId="0">
      <pane xSplit="4" ySplit="8" topLeftCell="E9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30.42578125" customWidth="1"/>
    <col min="2" max="2" width="11.85546875" style="3" customWidth="1"/>
    <col min="3" max="3" width="20.28515625" style="2" customWidth="1"/>
    <col min="4" max="4" width="13.140625" style="2" customWidth="1"/>
    <col min="5" max="5" width="18.42578125" style="2" customWidth="1"/>
    <col min="6" max="6" width="15" style="2" customWidth="1"/>
    <col min="7" max="7" width="10.140625" style="2" customWidth="1"/>
    <col min="8" max="8" width="15.140625" style="2" customWidth="1"/>
    <col min="9" max="9" width="18.85546875" style="2" customWidth="1"/>
    <col min="10" max="10" width="12.140625" style="2" customWidth="1"/>
    <col min="11" max="11" width="15" style="71" customWidth="1"/>
    <col min="12" max="12" width="11" style="1" customWidth="1"/>
    <col min="13" max="13" width="21.85546875" customWidth="1"/>
    <col min="14" max="14" width="11.28515625" customWidth="1"/>
    <col min="15" max="15" width="18.140625" style="6" customWidth="1"/>
    <col min="16" max="16" width="23.140625" style="1" customWidth="1"/>
    <col min="17" max="18" width="14.7109375" style="1" customWidth="1"/>
    <col min="19" max="19" width="18.7109375" style="1" customWidth="1"/>
    <col min="20" max="20" width="16.140625" style="1" customWidth="1"/>
    <col min="21" max="21" width="20" style="1" customWidth="1"/>
    <col min="22" max="27" width="21.7109375" style="1" customWidth="1"/>
    <col min="28" max="28" width="0" style="4" hidden="1" customWidth="1"/>
    <col min="29" max="29" width="21.7109375" style="5" hidden="1" customWidth="1"/>
    <col min="30" max="31" width="0" hidden="1" customWidth="1"/>
    <col min="32" max="32" width="9.140625" hidden="1" customWidth="1"/>
    <col min="33" max="33" width="11.42578125" hidden="1" customWidth="1"/>
    <col min="34" max="34" width="10.42578125" hidden="1" customWidth="1"/>
    <col min="35" max="35" width="8.28515625" hidden="1" customWidth="1"/>
    <col min="36" max="36" width="11" hidden="1" customWidth="1"/>
    <col min="37" max="158" width="9.140625" style="4"/>
  </cols>
  <sheetData>
    <row r="1" spans="1:158" ht="15.75">
      <c r="A1" s="50" t="s">
        <v>18</v>
      </c>
      <c r="B1" s="13"/>
      <c r="C1" s="14"/>
      <c r="D1" s="14"/>
      <c r="E1" s="14"/>
      <c r="F1" s="14"/>
      <c r="G1" s="14"/>
      <c r="H1" s="14"/>
      <c r="I1" s="14"/>
      <c r="J1" s="14"/>
      <c r="K1" s="67"/>
      <c r="L1" s="15"/>
      <c r="M1" s="16"/>
      <c r="N1" s="16"/>
      <c r="O1" s="16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7"/>
      <c r="AC1" s="18"/>
      <c r="AD1" s="16"/>
      <c r="AE1" s="16"/>
      <c r="AF1" s="16"/>
      <c r="AG1" s="16"/>
      <c r="AH1" s="16"/>
      <c r="AI1" s="16"/>
      <c r="AJ1" s="16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</row>
    <row r="2" spans="1:158" s="6" customFormat="1">
      <c r="A2" s="12" t="s">
        <v>119</v>
      </c>
      <c r="B2" s="72">
        <f ca="1">TODAY()</f>
        <v>39034</v>
      </c>
      <c r="C2" s="14"/>
      <c r="D2" s="14"/>
      <c r="E2" s="14"/>
      <c r="F2" s="14"/>
      <c r="G2" s="14"/>
      <c r="H2" s="14"/>
      <c r="I2" s="14"/>
      <c r="J2" s="14"/>
      <c r="K2" s="67"/>
      <c r="L2" s="15"/>
      <c r="M2" s="16"/>
      <c r="N2" s="16"/>
      <c r="O2" s="16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7"/>
      <c r="AC2" s="18"/>
      <c r="AD2" s="16"/>
      <c r="AE2" s="16"/>
      <c r="AF2" s="16"/>
      <c r="AG2" s="16"/>
      <c r="AH2" s="16"/>
      <c r="AI2" s="16"/>
      <c r="AJ2" s="16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  <c r="DK2" s="17"/>
      <c r="DL2" s="17"/>
      <c r="DM2" s="17"/>
      <c r="DN2" s="17"/>
      <c r="DO2" s="17"/>
      <c r="DP2" s="17"/>
      <c r="DQ2" s="17"/>
      <c r="DR2" s="17"/>
      <c r="DS2" s="17"/>
      <c r="DT2" s="17"/>
      <c r="DU2" s="17"/>
      <c r="DV2" s="17"/>
      <c r="DW2" s="17"/>
      <c r="DX2" s="17"/>
      <c r="DY2" s="17"/>
      <c r="DZ2" s="17"/>
      <c r="EA2" s="17"/>
      <c r="EB2" s="17"/>
      <c r="EC2" s="17"/>
      <c r="ED2" s="17"/>
      <c r="EE2" s="17"/>
      <c r="EF2" s="17"/>
      <c r="EG2" s="17"/>
      <c r="EH2" s="17"/>
      <c r="EI2" s="17"/>
      <c r="EJ2" s="17"/>
      <c r="EK2" s="17"/>
      <c r="EL2" s="17"/>
      <c r="EM2" s="17"/>
      <c r="EN2" s="17"/>
      <c r="EO2" s="17"/>
      <c r="EP2" s="17"/>
      <c r="EQ2" s="17"/>
      <c r="ER2" s="17"/>
      <c r="ES2" s="17"/>
      <c r="ET2" s="17"/>
      <c r="EU2" s="17"/>
      <c r="EV2" s="17"/>
      <c r="EW2" s="17"/>
      <c r="EX2" s="17"/>
      <c r="EY2" s="17"/>
      <c r="EZ2" s="17"/>
      <c r="FA2" s="17"/>
      <c r="FB2" s="17"/>
    </row>
    <row r="3" spans="1:158" s="6" customFormat="1">
      <c r="A3" s="12" t="s">
        <v>117</v>
      </c>
      <c r="B3" s="72" t="s">
        <v>118</v>
      </c>
      <c r="C3" s="14"/>
      <c r="D3" s="14"/>
      <c r="E3" s="14"/>
      <c r="F3" s="14"/>
      <c r="G3" s="14"/>
      <c r="H3" s="14"/>
      <c r="I3" s="14"/>
      <c r="J3" s="14"/>
      <c r="K3" s="67"/>
      <c r="L3" s="15"/>
      <c r="M3" s="16"/>
      <c r="N3" s="16"/>
      <c r="O3" s="16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7"/>
      <c r="AC3" s="18"/>
      <c r="AD3" s="16"/>
      <c r="AE3" s="16"/>
      <c r="AF3" s="16"/>
      <c r="AG3" s="16"/>
      <c r="AH3" s="16"/>
      <c r="AI3" s="16"/>
      <c r="AJ3" s="16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</row>
    <row r="4" spans="1:158" s="6" customFormat="1" ht="15.75" customHeight="1">
      <c r="A4" s="19"/>
      <c r="B4" s="13"/>
      <c r="D4" s="14"/>
      <c r="E4" s="14"/>
      <c r="F4" s="14"/>
      <c r="G4" s="14"/>
      <c r="H4" s="14"/>
      <c r="I4" s="14"/>
      <c r="J4" s="14"/>
      <c r="K4" s="67"/>
      <c r="L4" s="15"/>
      <c r="M4" s="16"/>
      <c r="N4" s="16"/>
      <c r="O4" s="16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7"/>
      <c r="AC4" s="20"/>
      <c r="AD4" s="16"/>
      <c r="AE4" s="16"/>
      <c r="AF4" s="16"/>
      <c r="AG4" s="16"/>
      <c r="AH4" s="16"/>
      <c r="AI4" s="16"/>
      <c r="AJ4" s="16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17"/>
      <c r="ED4" s="17"/>
      <c r="EE4" s="17"/>
      <c r="EF4" s="17"/>
      <c r="EG4" s="17"/>
      <c r="EH4" s="17"/>
      <c r="EI4" s="17"/>
      <c r="EJ4" s="17"/>
      <c r="EK4" s="17"/>
      <c r="EL4" s="17"/>
      <c r="EM4" s="17"/>
      <c r="EN4" s="17"/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</row>
    <row r="5" spans="1:158" ht="42" customHeight="1">
      <c r="A5" s="97" t="s">
        <v>122</v>
      </c>
      <c r="B5" s="13"/>
      <c r="C5" s="14"/>
      <c r="D5" s="14"/>
      <c r="E5" s="14"/>
      <c r="F5" s="14"/>
      <c r="G5" s="14"/>
      <c r="H5" s="14"/>
      <c r="I5" s="14"/>
      <c r="J5" s="14"/>
      <c r="K5" s="67"/>
      <c r="L5" s="15"/>
      <c r="M5" s="16"/>
      <c r="N5" s="16"/>
      <c r="O5" s="16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7"/>
      <c r="AC5" s="20"/>
      <c r="AD5" s="16"/>
      <c r="AE5" s="16"/>
      <c r="AF5" s="16"/>
      <c r="AG5" s="16"/>
      <c r="AH5" s="16"/>
      <c r="AI5" s="16"/>
      <c r="AJ5" s="16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</row>
    <row r="6" spans="1:158" s="6" customFormat="1" ht="13.5" customHeight="1">
      <c r="A6" s="98"/>
      <c r="B6" s="98"/>
      <c r="C6" s="98"/>
      <c r="D6" s="98"/>
      <c r="E6" s="98"/>
      <c r="F6" s="98"/>
      <c r="G6" s="98"/>
      <c r="H6" s="98"/>
      <c r="I6" s="98"/>
      <c r="J6" s="98"/>
      <c r="K6" s="99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7"/>
      <c r="AC6" s="20"/>
      <c r="AD6" s="16"/>
      <c r="AE6" s="16"/>
      <c r="AF6" s="16"/>
      <c r="AG6" s="16"/>
      <c r="AH6" s="16"/>
      <c r="AI6" s="16"/>
      <c r="AJ6" s="16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</row>
    <row r="7" spans="1:158" s="10" customFormat="1" ht="28.7" customHeight="1" thickBot="1">
      <c r="A7" s="96" t="s">
        <v>109</v>
      </c>
      <c r="B7" s="96"/>
      <c r="C7" s="96"/>
      <c r="D7" s="96"/>
      <c r="E7" s="96"/>
      <c r="F7" s="96"/>
      <c r="G7" s="96"/>
      <c r="H7" s="96"/>
      <c r="I7" s="96"/>
      <c r="J7" s="96"/>
      <c r="K7" s="96"/>
      <c r="L7" s="100" t="s">
        <v>105</v>
      </c>
      <c r="M7" s="100"/>
      <c r="N7" s="100"/>
      <c r="O7" s="101" t="s">
        <v>106</v>
      </c>
      <c r="P7" s="101"/>
      <c r="Q7" s="101"/>
      <c r="R7" s="101"/>
      <c r="S7" s="101"/>
      <c r="T7" s="100" t="s">
        <v>111</v>
      </c>
      <c r="U7" s="100"/>
      <c r="V7" s="100"/>
      <c r="W7" s="100" t="s">
        <v>112</v>
      </c>
      <c r="X7" s="100"/>
      <c r="Y7" s="100"/>
      <c r="Z7" s="102" t="s">
        <v>110</v>
      </c>
      <c r="AA7" s="100"/>
      <c r="AB7" s="21"/>
      <c r="AC7" s="22"/>
      <c r="AD7" s="23"/>
      <c r="AE7" s="23"/>
      <c r="AF7" s="23"/>
      <c r="AG7" s="23"/>
      <c r="AH7" s="23"/>
      <c r="AI7" s="23"/>
      <c r="AJ7" s="23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</row>
    <row r="8" spans="1:158" s="49" customFormat="1" ht="16.5" thickTop="1">
      <c r="A8" s="103" t="s">
        <v>34</v>
      </c>
      <c r="B8" s="103" t="s">
        <v>19</v>
      </c>
      <c r="C8" s="103" t="s">
        <v>35</v>
      </c>
      <c r="D8" s="103" t="s">
        <v>36</v>
      </c>
      <c r="E8" s="103" t="s">
        <v>37</v>
      </c>
      <c r="F8" s="103" t="s">
        <v>38</v>
      </c>
      <c r="G8" s="103" t="s">
        <v>39</v>
      </c>
      <c r="H8" s="103" t="s">
        <v>57</v>
      </c>
      <c r="I8" s="103" t="s">
        <v>40</v>
      </c>
      <c r="J8" s="103" t="s">
        <v>41</v>
      </c>
      <c r="K8" s="104" t="s">
        <v>42</v>
      </c>
      <c r="L8" s="103" t="s">
        <v>43</v>
      </c>
      <c r="M8" s="103" t="s">
        <v>22</v>
      </c>
      <c r="N8" s="103" t="s">
        <v>44</v>
      </c>
      <c r="O8" s="103" t="s">
        <v>45</v>
      </c>
      <c r="P8" s="103" t="s">
        <v>46</v>
      </c>
      <c r="Q8" s="103" t="s">
        <v>47</v>
      </c>
      <c r="R8" s="103" t="s">
        <v>48</v>
      </c>
      <c r="S8" s="103" t="s">
        <v>49</v>
      </c>
      <c r="T8" s="103" t="s">
        <v>50</v>
      </c>
      <c r="U8" s="103" t="s">
        <v>51</v>
      </c>
      <c r="V8" s="103" t="s">
        <v>52</v>
      </c>
      <c r="W8" s="103" t="s">
        <v>53</v>
      </c>
      <c r="X8" s="103" t="s">
        <v>54</v>
      </c>
      <c r="Y8" s="103" t="s">
        <v>55</v>
      </c>
      <c r="Z8" s="103" t="s">
        <v>56</v>
      </c>
      <c r="AA8" s="103" t="s">
        <v>15</v>
      </c>
      <c r="AB8" s="48"/>
      <c r="AC8" s="24" t="s">
        <v>99</v>
      </c>
      <c r="AD8" s="24" t="s">
        <v>100</v>
      </c>
      <c r="AE8" s="24" t="s">
        <v>101</v>
      </c>
      <c r="AF8" s="24" t="s">
        <v>102</v>
      </c>
      <c r="AG8" s="24" t="s">
        <v>99</v>
      </c>
      <c r="AH8" s="24" t="s">
        <v>100</v>
      </c>
      <c r="AI8" s="24" t="s">
        <v>101</v>
      </c>
      <c r="AJ8" s="24" t="s">
        <v>102</v>
      </c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48"/>
      <c r="CP8" s="48"/>
      <c r="CQ8" s="48"/>
      <c r="CR8" s="48"/>
      <c r="CS8" s="48"/>
      <c r="CT8" s="48"/>
      <c r="CU8" s="48"/>
      <c r="CV8" s="48"/>
      <c r="CW8" s="48"/>
      <c r="CX8" s="48"/>
      <c r="CY8" s="48"/>
      <c r="CZ8" s="48"/>
      <c r="DA8" s="48"/>
      <c r="DB8" s="48"/>
      <c r="DC8" s="48"/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48"/>
      <c r="EF8" s="48"/>
      <c r="EG8" s="48"/>
      <c r="EH8" s="48"/>
      <c r="EI8" s="48"/>
      <c r="EJ8" s="48"/>
      <c r="EK8" s="48"/>
      <c r="EL8" s="48"/>
      <c r="EM8" s="48"/>
      <c r="EN8" s="48"/>
      <c r="EO8" s="48"/>
      <c r="EP8" s="48"/>
      <c r="EQ8" s="48"/>
      <c r="ER8" s="48"/>
      <c r="ES8" s="48"/>
      <c r="ET8" s="48"/>
      <c r="EU8" s="48"/>
      <c r="EV8" s="48"/>
      <c r="EW8" s="48"/>
      <c r="EX8" s="48"/>
      <c r="EY8" s="48"/>
      <c r="EZ8" s="48"/>
      <c r="FA8" s="48"/>
      <c r="FB8" s="48"/>
    </row>
    <row r="9" spans="1:158" s="7" customFormat="1" ht="13.7" customHeight="1">
      <c r="A9" s="39">
        <v>134</v>
      </c>
      <c r="B9" s="27">
        <v>38620</v>
      </c>
      <c r="C9" s="34">
        <v>38714</v>
      </c>
      <c r="D9" s="28">
        <v>4150</v>
      </c>
      <c r="E9" s="36">
        <v>500</v>
      </c>
      <c r="F9" s="28">
        <v>3750</v>
      </c>
      <c r="G9" s="31">
        <v>0.01</v>
      </c>
      <c r="H9" s="32">
        <v>10</v>
      </c>
      <c r="I9" s="74">
        <f ca="1">(B9+H9)-$B$2</f>
        <v>-404</v>
      </c>
      <c r="J9" s="28">
        <f t="shared" ref="J9:J31" si="0">G9*D9</f>
        <v>41.5</v>
      </c>
      <c r="K9" s="68">
        <f ca="1">$B$2-B9</f>
        <v>414</v>
      </c>
      <c r="L9" s="40">
        <v>43</v>
      </c>
      <c r="M9" s="41" t="s">
        <v>31</v>
      </c>
      <c r="N9" s="40" t="s">
        <v>14</v>
      </c>
      <c r="O9" s="32">
        <v>23400</v>
      </c>
      <c r="P9" s="41" t="s">
        <v>10</v>
      </c>
      <c r="Q9" s="29">
        <v>450</v>
      </c>
      <c r="R9" s="28">
        <v>3375</v>
      </c>
      <c r="S9" s="29">
        <v>450</v>
      </c>
      <c r="T9" s="28">
        <f t="shared" ref="T9:T31" si="1">R9-F9</f>
        <v>-375</v>
      </c>
      <c r="U9" s="28">
        <f>IF(Q9=0,0,(S9-E9)*(R9/Q9))</f>
        <v>-375</v>
      </c>
      <c r="V9" s="28">
        <f>ABS(IF(Q9=0,F9,((R9/Q9)*S9)-F9))</f>
        <v>375</v>
      </c>
      <c r="W9" s="42" t="s">
        <v>21</v>
      </c>
      <c r="X9" s="30" t="s">
        <v>17</v>
      </c>
      <c r="Y9" s="30" t="s">
        <v>17</v>
      </c>
      <c r="Z9" s="43" t="s">
        <v>89</v>
      </c>
      <c r="AA9" s="38" t="s">
        <v>88</v>
      </c>
      <c r="AB9" s="20"/>
      <c r="AC9" s="25" t="str">
        <f ca="1" xml:space="preserve"> IF(AND($K9&lt;30,$K9&lt;&gt;0),$A9,"")</f>
        <v/>
      </c>
      <c r="AD9" s="26" t="str">
        <f ca="1">IF(AND(($K9&gt;=30),($K9&lt;61)),$A9,"")</f>
        <v/>
      </c>
      <c r="AE9" s="26" t="str">
        <f t="shared" ref="AE9:AE32" ca="1" si="2">IF(AND(($K9&gt;=61),($K9&lt;91)),$A9,"")</f>
        <v/>
      </c>
      <c r="AF9" s="26">
        <f ca="1">IF($K9&gt;=91,$A9,"" )</f>
        <v>134</v>
      </c>
      <c r="AG9" s="25" t="str">
        <f ca="1" xml:space="preserve"> IF(AND($K9&lt;30,$K9&lt;&gt;0),$L9,"")</f>
        <v/>
      </c>
      <c r="AH9" s="26" t="str">
        <f ca="1">IF(AND(($K9&gt;=30),($K9&lt;61)),$L9,"")</f>
        <v/>
      </c>
      <c r="AI9" s="26" t="str">
        <f t="shared" ref="AI9:AI32" ca="1" si="3">IF(AND(($K9&gt;=61),($K9&lt;91)),$L9,"")</f>
        <v/>
      </c>
      <c r="AJ9" s="26">
        <f ca="1">IF($K9&gt;=91,$L9,"" )</f>
        <v>43</v>
      </c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</row>
    <row r="10" spans="1:158" s="7" customFormat="1" ht="13.7" customHeight="1">
      <c r="A10" s="39">
        <v>134</v>
      </c>
      <c r="B10" s="27">
        <v>38620</v>
      </c>
      <c r="C10" s="34">
        <v>38714</v>
      </c>
      <c r="D10" s="33">
        <v>4150</v>
      </c>
      <c r="E10" s="36">
        <v>20</v>
      </c>
      <c r="F10" s="33">
        <v>400</v>
      </c>
      <c r="G10" s="31">
        <v>0.01</v>
      </c>
      <c r="H10" s="32">
        <v>10</v>
      </c>
      <c r="I10" s="74">
        <f t="shared" ref="I10:I32" ca="1" si="4">(B10+H10)-$B$2</f>
        <v>-404</v>
      </c>
      <c r="J10" s="33">
        <f t="shared" ref="J10" si="5">G10*D10</f>
        <v>41.5</v>
      </c>
      <c r="K10" s="68">
        <f t="shared" ref="K10:K32" ca="1" si="6">$B$2-B10</f>
        <v>414</v>
      </c>
      <c r="L10" s="40">
        <v>43</v>
      </c>
      <c r="M10" s="41" t="s">
        <v>31</v>
      </c>
      <c r="N10" s="40" t="s">
        <v>14</v>
      </c>
      <c r="O10" s="32">
        <v>23400</v>
      </c>
      <c r="P10" s="41" t="s">
        <v>10</v>
      </c>
      <c r="Q10" s="29">
        <v>20</v>
      </c>
      <c r="R10" s="33">
        <v>380</v>
      </c>
      <c r="S10" s="29">
        <v>20</v>
      </c>
      <c r="T10" s="33">
        <f t="shared" ref="T10" si="7">R10-F10</f>
        <v>-20</v>
      </c>
      <c r="U10" s="33">
        <f t="shared" ref="U10:U32" si="8">IF(Q10=0,0,(S10-E10)*(R10/Q10))</f>
        <v>0</v>
      </c>
      <c r="V10" s="33">
        <f t="shared" ref="V10:V32" si="9">ABS(IF(Q10=0,F10,((R10/Q10)*S10)-F10))</f>
        <v>20</v>
      </c>
      <c r="W10" s="42" t="s">
        <v>66</v>
      </c>
      <c r="X10" s="30" t="s">
        <v>17</v>
      </c>
      <c r="Y10" s="30" t="s">
        <v>17</v>
      </c>
      <c r="Z10" s="43" t="s">
        <v>89</v>
      </c>
      <c r="AA10" s="38" t="s">
        <v>88</v>
      </c>
      <c r="AB10" s="20"/>
      <c r="AC10" s="25" t="str">
        <f t="shared" ref="AC10:AC32" ca="1" si="10" xml:space="preserve"> IF(AND($K10&lt;30,$K10&lt;&gt;0),$A10,"")</f>
        <v/>
      </c>
      <c r="AD10" s="26" t="str">
        <f t="shared" ref="AD10:AD32" ca="1" si="11">IF(AND(($K10&gt;=30),($K10&lt;61)),$A10,"")</f>
        <v/>
      </c>
      <c r="AE10" s="26" t="str">
        <f t="shared" ca="1" si="2"/>
        <v/>
      </c>
      <c r="AF10" s="26">
        <f t="shared" ref="AF10:AF32" ca="1" si="12">IF($K10&gt;=91,$A10,"" )</f>
        <v>134</v>
      </c>
      <c r="AG10" s="25" t="str">
        <f t="shared" ref="AG10:AG32" ca="1" si="13" xml:space="preserve"> IF(AND($K10&lt;30,$K10&lt;&gt;0),$L10,"")</f>
        <v/>
      </c>
      <c r="AH10" s="26" t="str">
        <f t="shared" ref="AH10:AH32" ca="1" si="14">IF(AND(($K10&gt;=30),($K10&lt;61)),$L10,"")</f>
        <v/>
      </c>
      <c r="AI10" s="26" t="str">
        <f t="shared" ca="1" si="3"/>
        <v/>
      </c>
      <c r="AJ10" s="26">
        <f t="shared" ref="AJ10:AJ32" ca="1" si="15">IF($K10&gt;=91,$L10,"" )</f>
        <v>43</v>
      </c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</row>
    <row r="11" spans="1:158" s="7" customFormat="1" ht="13.7" customHeight="1">
      <c r="A11" s="39">
        <v>399</v>
      </c>
      <c r="B11" s="27">
        <v>38690</v>
      </c>
      <c r="C11" s="34">
        <v>38693</v>
      </c>
      <c r="D11" s="33">
        <v>1250</v>
      </c>
      <c r="E11" s="36">
        <v>1</v>
      </c>
      <c r="F11" s="33">
        <v>319</v>
      </c>
      <c r="G11" s="31">
        <v>0.01</v>
      </c>
      <c r="H11" s="32">
        <v>10</v>
      </c>
      <c r="I11" s="74">
        <f t="shared" ca="1" si="4"/>
        <v>-334</v>
      </c>
      <c r="J11" s="33">
        <f t="shared" si="0"/>
        <v>12.5</v>
      </c>
      <c r="K11" s="68">
        <f t="shared" ca="1" si="6"/>
        <v>344</v>
      </c>
      <c r="L11" s="40">
        <v>189</v>
      </c>
      <c r="M11" s="41" t="s">
        <v>30</v>
      </c>
      <c r="N11" s="40" t="s">
        <v>14</v>
      </c>
      <c r="O11" s="32">
        <v>23420</v>
      </c>
      <c r="P11" s="41" t="s">
        <v>12</v>
      </c>
      <c r="Q11" s="29">
        <v>1</v>
      </c>
      <c r="R11" s="33">
        <v>319</v>
      </c>
      <c r="S11" s="29">
        <v>0</v>
      </c>
      <c r="T11" s="33">
        <f t="shared" si="1"/>
        <v>0</v>
      </c>
      <c r="U11" s="33">
        <f t="shared" si="8"/>
        <v>-319</v>
      </c>
      <c r="V11" s="33">
        <f t="shared" si="9"/>
        <v>319</v>
      </c>
      <c r="W11" s="42" t="s">
        <v>21</v>
      </c>
      <c r="X11" s="30" t="s">
        <v>17</v>
      </c>
      <c r="Y11" s="30" t="s">
        <v>17</v>
      </c>
      <c r="Z11" s="43" t="s">
        <v>89</v>
      </c>
      <c r="AA11" s="38" t="s">
        <v>87</v>
      </c>
      <c r="AB11" s="20"/>
      <c r="AC11" s="25" t="str">
        <f t="shared" ca="1" si="10"/>
        <v/>
      </c>
      <c r="AD11" s="26" t="str">
        <f t="shared" ca="1" si="11"/>
        <v/>
      </c>
      <c r="AE11" s="26" t="str">
        <f t="shared" ca="1" si="2"/>
        <v/>
      </c>
      <c r="AF11" s="26">
        <f t="shared" ca="1" si="12"/>
        <v>399</v>
      </c>
      <c r="AG11" s="25" t="str">
        <f t="shared" ca="1" si="13"/>
        <v/>
      </c>
      <c r="AH11" s="26" t="str">
        <f t="shared" ca="1" si="14"/>
        <v/>
      </c>
      <c r="AI11" s="26" t="str">
        <f t="shared" ca="1" si="3"/>
        <v/>
      </c>
      <c r="AJ11" s="26">
        <f t="shared" ca="1" si="15"/>
        <v>189</v>
      </c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</row>
    <row r="12" spans="1:158" s="7" customFormat="1" ht="13.7" customHeight="1">
      <c r="A12" s="39">
        <v>4134</v>
      </c>
      <c r="B12" s="27">
        <v>38701</v>
      </c>
      <c r="C12" s="34">
        <v>38713</v>
      </c>
      <c r="D12" s="33">
        <v>2000</v>
      </c>
      <c r="E12" s="36">
        <v>23</v>
      </c>
      <c r="F12" s="33">
        <v>1150</v>
      </c>
      <c r="G12" s="31">
        <v>0.01</v>
      </c>
      <c r="H12" s="32">
        <v>10</v>
      </c>
      <c r="I12" s="74">
        <f t="shared" ca="1" si="4"/>
        <v>-323</v>
      </c>
      <c r="J12" s="33">
        <f t="shared" si="0"/>
        <v>20</v>
      </c>
      <c r="K12" s="68">
        <f t="shared" ca="1" si="6"/>
        <v>333</v>
      </c>
      <c r="L12" s="40">
        <v>314</v>
      </c>
      <c r="M12" s="41" t="s">
        <v>26</v>
      </c>
      <c r="N12" s="40" t="s">
        <v>13</v>
      </c>
      <c r="O12" s="32">
        <v>23489</v>
      </c>
      <c r="P12" s="41" t="s">
        <v>16</v>
      </c>
      <c r="Q12" s="29">
        <v>23</v>
      </c>
      <c r="R12" s="33">
        <v>1150</v>
      </c>
      <c r="S12" s="29">
        <v>20</v>
      </c>
      <c r="T12" s="33">
        <f t="shared" si="1"/>
        <v>0</v>
      </c>
      <c r="U12" s="33">
        <f t="shared" si="8"/>
        <v>-150</v>
      </c>
      <c r="V12" s="33">
        <f t="shared" si="9"/>
        <v>150</v>
      </c>
      <c r="W12" s="42" t="s">
        <v>21</v>
      </c>
      <c r="X12" s="30" t="s">
        <v>17</v>
      </c>
      <c r="Y12" s="30" t="s">
        <v>17</v>
      </c>
      <c r="Z12" s="43" t="s">
        <v>85</v>
      </c>
      <c r="AA12" s="38" t="s">
        <v>87</v>
      </c>
      <c r="AB12" s="20"/>
      <c r="AC12" s="25" t="str">
        <f t="shared" ca="1" si="10"/>
        <v/>
      </c>
      <c r="AD12" s="26" t="str">
        <f t="shared" ca="1" si="11"/>
        <v/>
      </c>
      <c r="AE12" s="26" t="str">
        <f t="shared" ca="1" si="2"/>
        <v/>
      </c>
      <c r="AF12" s="26">
        <f t="shared" ca="1" si="12"/>
        <v>4134</v>
      </c>
      <c r="AG12" s="25" t="str">
        <f t="shared" ca="1" si="13"/>
        <v/>
      </c>
      <c r="AH12" s="26" t="str">
        <f t="shared" ca="1" si="14"/>
        <v/>
      </c>
      <c r="AI12" s="26" t="str">
        <f t="shared" ca="1" si="3"/>
        <v/>
      </c>
      <c r="AJ12" s="26">
        <f t="shared" ca="1" si="15"/>
        <v>314</v>
      </c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</row>
    <row r="13" spans="1:158" s="8" customFormat="1" ht="13.7" customHeight="1">
      <c r="A13" s="39">
        <v>4135</v>
      </c>
      <c r="B13" s="27">
        <v>38699</v>
      </c>
      <c r="C13" s="34">
        <v>38713</v>
      </c>
      <c r="D13" s="33">
        <v>567</v>
      </c>
      <c r="E13" s="36">
        <v>2</v>
      </c>
      <c r="F13" s="33">
        <v>234</v>
      </c>
      <c r="G13" s="31">
        <v>0.01</v>
      </c>
      <c r="H13" s="32">
        <v>10</v>
      </c>
      <c r="I13" s="74">
        <f t="shared" ca="1" si="4"/>
        <v>-325</v>
      </c>
      <c r="J13" s="33">
        <f t="shared" si="0"/>
        <v>5.67</v>
      </c>
      <c r="K13" s="68">
        <f t="shared" ca="1" si="6"/>
        <v>335</v>
      </c>
      <c r="L13" s="40">
        <v>314</v>
      </c>
      <c r="M13" s="41" t="s">
        <v>26</v>
      </c>
      <c r="N13" s="40" t="s">
        <v>13</v>
      </c>
      <c r="O13" s="32"/>
      <c r="P13" s="41" t="s">
        <v>77</v>
      </c>
      <c r="Q13" s="29">
        <v>0</v>
      </c>
      <c r="R13" s="33">
        <v>0</v>
      </c>
      <c r="S13" s="29">
        <v>0</v>
      </c>
      <c r="T13" s="33">
        <f t="shared" si="1"/>
        <v>-234</v>
      </c>
      <c r="U13" s="33">
        <f t="shared" si="8"/>
        <v>0</v>
      </c>
      <c r="V13" s="33">
        <f t="shared" si="9"/>
        <v>234</v>
      </c>
      <c r="W13" s="42" t="s">
        <v>67</v>
      </c>
      <c r="X13" s="30" t="s">
        <v>17</v>
      </c>
      <c r="Y13" s="30" t="s">
        <v>17</v>
      </c>
      <c r="Z13" s="43" t="s">
        <v>85</v>
      </c>
      <c r="AA13" s="38" t="s">
        <v>87</v>
      </c>
      <c r="AB13" s="17"/>
      <c r="AC13" s="25" t="str">
        <f t="shared" ca="1" si="10"/>
        <v/>
      </c>
      <c r="AD13" s="26" t="str">
        <f t="shared" ca="1" si="11"/>
        <v/>
      </c>
      <c r="AE13" s="26" t="str">
        <f t="shared" ca="1" si="2"/>
        <v/>
      </c>
      <c r="AF13" s="26">
        <f t="shared" ca="1" si="12"/>
        <v>4135</v>
      </c>
      <c r="AG13" s="25" t="str">
        <f t="shared" ca="1" si="13"/>
        <v/>
      </c>
      <c r="AH13" s="26" t="str">
        <f t="shared" ca="1" si="14"/>
        <v/>
      </c>
      <c r="AI13" s="26" t="str">
        <f t="shared" ca="1" si="3"/>
        <v/>
      </c>
      <c r="AJ13" s="26">
        <f t="shared" ca="1" si="15"/>
        <v>314</v>
      </c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</row>
    <row r="14" spans="1:158" s="8" customFormat="1" ht="13.7" customHeight="1">
      <c r="A14" s="39">
        <v>7654</v>
      </c>
      <c r="B14" s="27">
        <v>38691</v>
      </c>
      <c r="C14" s="34">
        <v>38698</v>
      </c>
      <c r="D14" s="33">
        <v>1000</v>
      </c>
      <c r="E14" s="36">
        <v>500</v>
      </c>
      <c r="F14" s="33">
        <v>560</v>
      </c>
      <c r="G14" s="31">
        <v>0</v>
      </c>
      <c r="H14" s="32">
        <v>10</v>
      </c>
      <c r="I14" s="74">
        <f t="shared" ca="1" si="4"/>
        <v>-333</v>
      </c>
      <c r="J14" s="33">
        <f t="shared" si="0"/>
        <v>0</v>
      </c>
      <c r="K14" s="68">
        <f t="shared" ca="1" si="6"/>
        <v>343</v>
      </c>
      <c r="L14" s="40">
        <v>612</v>
      </c>
      <c r="M14" s="41" t="s">
        <v>78</v>
      </c>
      <c r="N14" s="40" t="s">
        <v>14</v>
      </c>
      <c r="O14" s="32">
        <v>23455</v>
      </c>
      <c r="P14" s="41" t="s">
        <v>79</v>
      </c>
      <c r="Q14" s="29">
        <v>500</v>
      </c>
      <c r="R14" s="33">
        <v>445</v>
      </c>
      <c r="S14" s="29">
        <v>500</v>
      </c>
      <c r="T14" s="33">
        <f t="shared" si="1"/>
        <v>-115</v>
      </c>
      <c r="U14" s="33">
        <f t="shared" si="8"/>
        <v>0</v>
      </c>
      <c r="V14" s="33">
        <f t="shared" si="9"/>
        <v>115</v>
      </c>
      <c r="W14" s="42" t="s">
        <v>66</v>
      </c>
      <c r="X14" s="30" t="s">
        <v>17</v>
      </c>
      <c r="Y14" s="30" t="s">
        <v>17</v>
      </c>
      <c r="Z14" s="43" t="s">
        <v>89</v>
      </c>
      <c r="AA14" s="38" t="s">
        <v>93</v>
      </c>
      <c r="AB14" s="17"/>
      <c r="AC14" s="25" t="str">
        <f t="shared" ca="1" si="10"/>
        <v/>
      </c>
      <c r="AD14" s="26" t="str">
        <f t="shared" ca="1" si="11"/>
        <v/>
      </c>
      <c r="AE14" s="26" t="str">
        <f t="shared" ca="1" si="2"/>
        <v/>
      </c>
      <c r="AF14" s="26">
        <f t="shared" ca="1" si="12"/>
        <v>7654</v>
      </c>
      <c r="AG14" s="25" t="str">
        <f t="shared" ca="1" si="13"/>
        <v/>
      </c>
      <c r="AH14" s="26" t="str">
        <f t="shared" ca="1" si="14"/>
        <v/>
      </c>
      <c r="AI14" s="26" t="str">
        <f t="shared" ca="1" si="3"/>
        <v/>
      </c>
      <c r="AJ14" s="26">
        <f t="shared" ca="1" si="15"/>
        <v>612</v>
      </c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</row>
    <row r="15" spans="1:158" s="8" customFormat="1" ht="13.7" customHeight="1">
      <c r="A15" s="39">
        <f>A14+1</f>
        <v>7655</v>
      </c>
      <c r="B15" s="27">
        <v>38692</v>
      </c>
      <c r="C15" s="34">
        <v>38716</v>
      </c>
      <c r="D15" s="33">
        <v>987.54</v>
      </c>
      <c r="E15" s="36">
        <v>1</v>
      </c>
      <c r="F15" s="33">
        <v>199</v>
      </c>
      <c r="G15" s="31">
        <v>0.01</v>
      </c>
      <c r="H15" s="32">
        <v>10</v>
      </c>
      <c r="I15" s="74">
        <f t="shared" ca="1" si="4"/>
        <v>-332</v>
      </c>
      <c r="J15" s="33">
        <f t="shared" si="0"/>
        <v>9.8753999999999991</v>
      </c>
      <c r="K15" s="68">
        <f t="shared" ca="1" si="6"/>
        <v>342</v>
      </c>
      <c r="L15" s="40">
        <v>567</v>
      </c>
      <c r="M15" s="41" t="s">
        <v>33</v>
      </c>
      <c r="N15" s="40" t="s">
        <v>13</v>
      </c>
      <c r="O15" s="32"/>
      <c r="P15" s="41" t="s">
        <v>1</v>
      </c>
      <c r="Q15" s="29">
        <v>0</v>
      </c>
      <c r="R15" s="33">
        <v>0</v>
      </c>
      <c r="S15" s="29">
        <v>0</v>
      </c>
      <c r="T15" s="33">
        <f t="shared" si="1"/>
        <v>-199</v>
      </c>
      <c r="U15" s="33">
        <f t="shared" si="8"/>
        <v>0</v>
      </c>
      <c r="V15" s="33">
        <f t="shared" si="9"/>
        <v>199</v>
      </c>
      <c r="W15" s="42" t="s">
        <v>67</v>
      </c>
      <c r="X15" s="30" t="s">
        <v>17</v>
      </c>
      <c r="Y15" s="30" t="s">
        <v>17</v>
      </c>
      <c r="Z15" s="43" t="s">
        <v>89</v>
      </c>
      <c r="AA15" s="38" t="s">
        <v>87</v>
      </c>
      <c r="AB15" s="17"/>
      <c r="AC15" s="25" t="str">
        <f t="shared" ca="1" si="10"/>
        <v/>
      </c>
      <c r="AD15" s="26" t="str">
        <f t="shared" ca="1" si="11"/>
        <v/>
      </c>
      <c r="AE15" s="26" t="str">
        <f t="shared" ca="1" si="2"/>
        <v/>
      </c>
      <c r="AF15" s="26">
        <f t="shared" ca="1" si="12"/>
        <v>7655</v>
      </c>
      <c r="AG15" s="25" t="str">
        <f t="shared" ca="1" si="13"/>
        <v/>
      </c>
      <c r="AH15" s="26" t="str">
        <f t="shared" ca="1" si="14"/>
        <v/>
      </c>
      <c r="AI15" s="26" t="str">
        <f t="shared" ca="1" si="3"/>
        <v/>
      </c>
      <c r="AJ15" s="26">
        <f t="shared" ca="1" si="15"/>
        <v>567</v>
      </c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</row>
    <row r="16" spans="1:158" s="4" customFormat="1" ht="13.7" customHeight="1">
      <c r="A16" s="39">
        <v>12799</v>
      </c>
      <c r="B16" s="27">
        <v>38689</v>
      </c>
      <c r="C16" s="34">
        <v>38688</v>
      </c>
      <c r="D16" s="33">
        <v>1678.76</v>
      </c>
      <c r="E16" s="36">
        <v>1</v>
      </c>
      <c r="F16" s="33">
        <v>1345</v>
      </c>
      <c r="G16" s="31">
        <v>0.01</v>
      </c>
      <c r="H16" s="32">
        <v>10</v>
      </c>
      <c r="I16" s="74">
        <f t="shared" ca="1" si="4"/>
        <v>-335</v>
      </c>
      <c r="J16" s="33">
        <f t="shared" si="0"/>
        <v>16.787600000000001</v>
      </c>
      <c r="K16" s="68">
        <f t="shared" ca="1" si="6"/>
        <v>345</v>
      </c>
      <c r="L16" s="40">
        <v>96</v>
      </c>
      <c r="M16" s="41" t="s">
        <v>75</v>
      </c>
      <c r="N16" s="40" t="s">
        <v>13</v>
      </c>
      <c r="O16" s="32"/>
      <c r="P16" s="41" t="s">
        <v>76</v>
      </c>
      <c r="Q16" s="29">
        <v>0</v>
      </c>
      <c r="R16" s="33">
        <v>0</v>
      </c>
      <c r="S16" s="29">
        <v>0</v>
      </c>
      <c r="T16" s="33">
        <f t="shared" si="1"/>
        <v>-1345</v>
      </c>
      <c r="U16" s="33">
        <f t="shared" si="8"/>
        <v>0</v>
      </c>
      <c r="V16" s="33">
        <f t="shared" si="9"/>
        <v>1345</v>
      </c>
      <c r="W16" s="42" t="s">
        <v>67</v>
      </c>
      <c r="X16" s="30" t="s">
        <v>17</v>
      </c>
      <c r="Y16" s="30" t="s">
        <v>17</v>
      </c>
      <c r="Z16" s="43" t="s">
        <v>89</v>
      </c>
      <c r="AA16" s="38" t="s">
        <v>88</v>
      </c>
      <c r="AB16" s="17"/>
      <c r="AC16" s="25" t="str">
        <f t="shared" ca="1" si="10"/>
        <v/>
      </c>
      <c r="AD16" s="26" t="str">
        <f t="shared" ca="1" si="11"/>
        <v/>
      </c>
      <c r="AE16" s="26" t="str">
        <f t="shared" ca="1" si="2"/>
        <v/>
      </c>
      <c r="AF16" s="26">
        <f t="shared" ca="1" si="12"/>
        <v>12799</v>
      </c>
      <c r="AG16" s="25" t="str">
        <f t="shared" ca="1" si="13"/>
        <v/>
      </c>
      <c r="AH16" s="26" t="str">
        <f t="shared" ca="1" si="14"/>
        <v/>
      </c>
      <c r="AI16" s="26" t="str">
        <f t="shared" ca="1" si="3"/>
        <v/>
      </c>
      <c r="AJ16" s="26">
        <f t="shared" ca="1" si="15"/>
        <v>96</v>
      </c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</row>
    <row r="17" spans="1:158" s="8" customFormat="1" ht="13.7" customHeight="1">
      <c r="A17" s="39">
        <v>34678</v>
      </c>
      <c r="B17" s="27">
        <v>38579</v>
      </c>
      <c r="C17" s="34">
        <v>38714</v>
      </c>
      <c r="D17" s="33">
        <v>125.67</v>
      </c>
      <c r="E17" s="36">
        <v>50</v>
      </c>
      <c r="F17" s="33">
        <v>88</v>
      </c>
      <c r="G17" s="31">
        <v>0</v>
      </c>
      <c r="H17" s="32">
        <v>10</v>
      </c>
      <c r="I17" s="74">
        <f t="shared" ca="1" si="4"/>
        <v>-445</v>
      </c>
      <c r="J17" s="33">
        <f t="shared" si="0"/>
        <v>0</v>
      </c>
      <c r="K17" s="68">
        <f t="shared" ca="1" si="6"/>
        <v>455</v>
      </c>
      <c r="L17" s="40">
        <v>44</v>
      </c>
      <c r="M17" s="41" t="s">
        <v>32</v>
      </c>
      <c r="N17" s="40" t="s">
        <v>14</v>
      </c>
      <c r="O17" s="32">
        <v>23488</v>
      </c>
      <c r="P17" s="41" t="s">
        <v>80</v>
      </c>
      <c r="Q17" s="29">
        <v>50</v>
      </c>
      <c r="R17" s="33">
        <v>88</v>
      </c>
      <c r="S17" s="29">
        <v>40</v>
      </c>
      <c r="T17" s="33">
        <f t="shared" si="1"/>
        <v>0</v>
      </c>
      <c r="U17" s="33">
        <f t="shared" si="8"/>
        <v>-17.600000000000001</v>
      </c>
      <c r="V17" s="33">
        <f t="shared" si="9"/>
        <v>17.599999999999994</v>
      </c>
      <c r="W17" s="42" t="s">
        <v>21</v>
      </c>
      <c r="X17" s="30" t="s">
        <v>17</v>
      </c>
      <c r="Y17" s="30" t="s">
        <v>17</v>
      </c>
      <c r="Z17" s="43" t="s">
        <v>85</v>
      </c>
      <c r="AA17" s="38" t="s">
        <v>88</v>
      </c>
      <c r="AB17" s="17"/>
      <c r="AC17" s="25" t="str">
        <f t="shared" ca="1" si="10"/>
        <v/>
      </c>
      <c r="AD17" s="26" t="str">
        <f t="shared" ca="1" si="11"/>
        <v/>
      </c>
      <c r="AE17" s="26" t="str">
        <f t="shared" ca="1" si="2"/>
        <v/>
      </c>
      <c r="AF17" s="26">
        <f t="shared" ca="1" si="12"/>
        <v>34678</v>
      </c>
      <c r="AG17" s="25" t="str">
        <f t="shared" ca="1" si="13"/>
        <v/>
      </c>
      <c r="AH17" s="26" t="str">
        <f t="shared" ca="1" si="14"/>
        <v/>
      </c>
      <c r="AI17" s="26" t="str">
        <f t="shared" ca="1" si="3"/>
        <v/>
      </c>
      <c r="AJ17" s="26">
        <f t="shared" ca="1" si="15"/>
        <v>44</v>
      </c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</row>
    <row r="18" spans="1:158" s="8" customFormat="1" ht="13.7" customHeight="1">
      <c r="A18" s="39">
        <v>98761</v>
      </c>
      <c r="B18" s="27">
        <v>38709</v>
      </c>
      <c r="C18" s="34">
        <v>38712</v>
      </c>
      <c r="D18" s="33">
        <v>2400</v>
      </c>
      <c r="E18" s="36">
        <v>200</v>
      </c>
      <c r="F18" s="33">
        <v>2200</v>
      </c>
      <c r="G18" s="31">
        <v>0.01</v>
      </c>
      <c r="H18" s="32">
        <v>10</v>
      </c>
      <c r="I18" s="74">
        <f t="shared" ca="1" si="4"/>
        <v>-315</v>
      </c>
      <c r="J18" s="33">
        <f t="shared" si="0"/>
        <v>24</v>
      </c>
      <c r="K18" s="68">
        <f t="shared" ca="1" si="6"/>
        <v>325</v>
      </c>
      <c r="L18" s="40">
        <v>54</v>
      </c>
      <c r="M18" s="41" t="s">
        <v>25</v>
      </c>
      <c r="N18" s="40" t="s">
        <v>13</v>
      </c>
      <c r="O18" s="32">
        <v>23505</v>
      </c>
      <c r="P18" s="41" t="s">
        <v>5</v>
      </c>
      <c r="Q18" s="29">
        <v>200</v>
      </c>
      <c r="R18" s="33">
        <v>2000</v>
      </c>
      <c r="S18" s="29">
        <v>200</v>
      </c>
      <c r="T18" s="33">
        <f t="shared" si="1"/>
        <v>-200</v>
      </c>
      <c r="U18" s="33">
        <f t="shared" si="8"/>
        <v>0</v>
      </c>
      <c r="V18" s="33">
        <f t="shared" si="9"/>
        <v>200</v>
      </c>
      <c r="W18" s="42" t="s">
        <v>66</v>
      </c>
      <c r="X18" s="30" t="s">
        <v>17</v>
      </c>
      <c r="Y18" s="30" t="s">
        <v>17</v>
      </c>
      <c r="Z18" s="43" t="s">
        <v>85</v>
      </c>
      <c r="AA18" s="38" t="s">
        <v>93</v>
      </c>
      <c r="AB18" s="17"/>
      <c r="AC18" s="25" t="str">
        <f t="shared" ca="1" si="10"/>
        <v/>
      </c>
      <c r="AD18" s="26" t="str">
        <f t="shared" ca="1" si="11"/>
        <v/>
      </c>
      <c r="AE18" s="26" t="str">
        <f t="shared" ca="1" si="2"/>
        <v/>
      </c>
      <c r="AF18" s="26">
        <f t="shared" ca="1" si="12"/>
        <v>98761</v>
      </c>
      <c r="AG18" s="25" t="str">
        <f t="shared" ca="1" si="13"/>
        <v/>
      </c>
      <c r="AH18" s="26" t="str">
        <f t="shared" ca="1" si="14"/>
        <v/>
      </c>
      <c r="AI18" s="26" t="str">
        <f t="shared" ca="1" si="3"/>
        <v/>
      </c>
      <c r="AJ18" s="26">
        <f t="shared" ca="1" si="15"/>
        <v>54</v>
      </c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</row>
    <row r="19" spans="1:158" s="8" customFormat="1" ht="13.7" customHeight="1">
      <c r="A19" s="39">
        <v>99999</v>
      </c>
      <c r="B19" s="27">
        <v>38707</v>
      </c>
      <c r="C19" s="34">
        <v>38712</v>
      </c>
      <c r="D19" s="33">
        <v>567.78</v>
      </c>
      <c r="E19" s="36">
        <v>1</v>
      </c>
      <c r="F19" s="33">
        <v>479</v>
      </c>
      <c r="G19" s="31">
        <v>0.02</v>
      </c>
      <c r="H19" s="32">
        <v>10</v>
      </c>
      <c r="I19" s="74">
        <f t="shared" ca="1" si="4"/>
        <v>-317</v>
      </c>
      <c r="J19" s="33">
        <f t="shared" si="0"/>
        <v>11.355599999999999</v>
      </c>
      <c r="K19" s="68">
        <f t="shared" ca="1" si="6"/>
        <v>327</v>
      </c>
      <c r="L19" s="40">
        <v>12</v>
      </c>
      <c r="M19" s="41" t="s">
        <v>29</v>
      </c>
      <c r="N19" s="40" t="s">
        <v>13</v>
      </c>
      <c r="O19" s="32"/>
      <c r="P19" s="41" t="s">
        <v>8</v>
      </c>
      <c r="Q19" s="29">
        <v>0</v>
      </c>
      <c r="R19" s="33">
        <v>0</v>
      </c>
      <c r="S19" s="29">
        <v>0</v>
      </c>
      <c r="T19" s="33">
        <f t="shared" si="1"/>
        <v>-479</v>
      </c>
      <c r="U19" s="33">
        <f t="shared" si="8"/>
        <v>0</v>
      </c>
      <c r="V19" s="33">
        <f t="shared" si="9"/>
        <v>479</v>
      </c>
      <c r="W19" s="42" t="s">
        <v>67</v>
      </c>
      <c r="X19" s="30" t="s">
        <v>17</v>
      </c>
      <c r="Y19" s="30" t="s">
        <v>17</v>
      </c>
      <c r="Z19" s="43" t="s">
        <v>85</v>
      </c>
      <c r="AA19" s="38" t="s">
        <v>93</v>
      </c>
      <c r="AB19" s="17"/>
      <c r="AC19" s="25" t="str">
        <f t="shared" ca="1" si="10"/>
        <v/>
      </c>
      <c r="AD19" s="26" t="str">
        <f t="shared" ca="1" si="11"/>
        <v/>
      </c>
      <c r="AE19" s="26" t="str">
        <f t="shared" ca="1" si="2"/>
        <v/>
      </c>
      <c r="AF19" s="26">
        <f t="shared" ca="1" si="12"/>
        <v>99999</v>
      </c>
      <c r="AG19" s="25" t="str">
        <f t="shared" ca="1" si="13"/>
        <v/>
      </c>
      <c r="AH19" s="26" t="str">
        <f t="shared" ca="1" si="14"/>
        <v/>
      </c>
      <c r="AI19" s="26" t="str">
        <f t="shared" ca="1" si="3"/>
        <v/>
      </c>
      <c r="AJ19" s="26">
        <f t="shared" ca="1" si="15"/>
        <v>12</v>
      </c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</row>
    <row r="20" spans="1:158" s="4" customFormat="1" ht="13.7" customHeight="1">
      <c r="A20" s="39">
        <v>100044</v>
      </c>
      <c r="B20" s="27">
        <v>38698</v>
      </c>
      <c r="C20" s="34">
        <v>38713</v>
      </c>
      <c r="D20" s="33">
        <v>15000</v>
      </c>
      <c r="E20" s="36">
        <v>5000</v>
      </c>
      <c r="F20" s="33">
        <v>10000</v>
      </c>
      <c r="G20" s="31">
        <v>0.02</v>
      </c>
      <c r="H20" s="32">
        <v>10</v>
      </c>
      <c r="I20" s="74">
        <f t="shared" ca="1" si="4"/>
        <v>-326</v>
      </c>
      <c r="J20" s="33">
        <f t="shared" si="0"/>
        <v>300</v>
      </c>
      <c r="K20" s="68">
        <f t="shared" ca="1" si="6"/>
        <v>336</v>
      </c>
      <c r="L20" s="40">
        <v>12</v>
      </c>
      <c r="M20" s="41" t="s">
        <v>29</v>
      </c>
      <c r="N20" s="40" t="s">
        <v>13</v>
      </c>
      <c r="O20" s="32">
        <v>23485</v>
      </c>
      <c r="P20" s="41" t="s">
        <v>9</v>
      </c>
      <c r="Q20" s="29">
        <v>5000</v>
      </c>
      <c r="R20" s="33">
        <v>5000</v>
      </c>
      <c r="S20" s="29">
        <v>5000</v>
      </c>
      <c r="T20" s="33">
        <f t="shared" si="1"/>
        <v>-5000</v>
      </c>
      <c r="U20" s="33">
        <f t="shared" si="8"/>
        <v>0</v>
      </c>
      <c r="V20" s="33">
        <f t="shared" si="9"/>
        <v>5000</v>
      </c>
      <c r="W20" s="42" t="s">
        <v>66</v>
      </c>
      <c r="X20" s="30" t="s">
        <v>17</v>
      </c>
      <c r="Y20" s="30" t="s">
        <v>17</v>
      </c>
      <c r="Z20" s="43" t="s">
        <v>85</v>
      </c>
      <c r="AA20" s="38" t="s">
        <v>93</v>
      </c>
      <c r="AB20" s="17"/>
      <c r="AC20" s="25" t="str">
        <f t="shared" ca="1" si="10"/>
        <v/>
      </c>
      <c r="AD20" s="26" t="str">
        <f t="shared" ca="1" si="11"/>
        <v/>
      </c>
      <c r="AE20" s="26" t="str">
        <f t="shared" ca="1" si="2"/>
        <v/>
      </c>
      <c r="AF20" s="26">
        <f t="shared" ca="1" si="12"/>
        <v>100044</v>
      </c>
      <c r="AG20" s="25" t="str">
        <f t="shared" ca="1" si="13"/>
        <v/>
      </c>
      <c r="AH20" s="26" t="str">
        <f t="shared" ca="1" si="14"/>
        <v/>
      </c>
      <c r="AI20" s="26" t="str">
        <f t="shared" ca="1" si="3"/>
        <v/>
      </c>
      <c r="AJ20" s="26">
        <f t="shared" ca="1" si="15"/>
        <v>12</v>
      </c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</row>
    <row r="21" spans="1:158" s="4" customFormat="1" ht="13.7" customHeight="1">
      <c r="A21" s="39">
        <v>100044</v>
      </c>
      <c r="B21" s="27">
        <v>38698</v>
      </c>
      <c r="C21" s="34">
        <v>38713</v>
      </c>
      <c r="D21" s="33">
        <v>15000</v>
      </c>
      <c r="E21" s="36">
        <v>450</v>
      </c>
      <c r="F21" s="33">
        <v>4500</v>
      </c>
      <c r="G21" s="31">
        <v>0.02</v>
      </c>
      <c r="H21" s="32">
        <v>10</v>
      </c>
      <c r="I21" s="74">
        <f t="shared" ca="1" si="4"/>
        <v>-326</v>
      </c>
      <c r="J21" s="33">
        <f t="shared" si="0"/>
        <v>300</v>
      </c>
      <c r="K21" s="68">
        <f t="shared" ca="1" si="6"/>
        <v>336</v>
      </c>
      <c r="L21" s="40">
        <v>12</v>
      </c>
      <c r="M21" s="41" t="s">
        <v>29</v>
      </c>
      <c r="N21" s="40" t="s">
        <v>13</v>
      </c>
      <c r="O21" s="32">
        <v>23485</v>
      </c>
      <c r="P21" s="41" t="s">
        <v>104</v>
      </c>
      <c r="Q21" s="29">
        <v>450</v>
      </c>
      <c r="R21" s="33">
        <v>4050</v>
      </c>
      <c r="S21" s="29">
        <v>450</v>
      </c>
      <c r="T21" s="33">
        <f t="shared" si="1"/>
        <v>-450</v>
      </c>
      <c r="U21" s="33">
        <f t="shared" si="8"/>
        <v>0</v>
      </c>
      <c r="V21" s="33">
        <f t="shared" si="9"/>
        <v>450</v>
      </c>
      <c r="W21" s="42" t="s">
        <v>66</v>
      </c>
      <c r="X21" s="30" t="s">
        <v>17</v>
      </c>
      <c r="Y21" s="30" t="s">
        <v>17</v>
      </c>
      <c r="Z21" s="43" t="s">
        <v>85</v>
      </c>
      <c r="AA21" s="38" t="s">
        <v>93</v>
      </c>
      <c r="AB21" s="17"/>
      <c r="AC21" s="25" t="str">
        <f t="shared" ca="1" si="10"/>
        <v/>
      </c>
      <c r="AD21" s="26" t="str">
        <f t="shared" ca="1" si="11"/>
        <v/>
      </c>
      <c r="AE21" s="26" t="str">
        <f t="shared" ca="1" si="2"/>
        <v/>
      </c>
      <c r="AF21" s="26">
        <f t="shared" ca="1" si="12"/>
        <v>100044</v>
      </c>
      <c r="AG21" s="25" t="str">
        <f t="shared" ca="1" si="13"/>
        <v/>
      </c>
      <c r="AH21" s="26" t="str">
        <f t="shared" ca="1" si="14"/>
        <v/>
      </c>
      <c r="AI21" s="26" t="str">
        <f t="shared" ca="1" si="3"/>
        <v/>
      </c>
      <c r="AJ21" s="26">
        <f t="shared" ca="1" si="15"/>
        <v>12</v>
      </c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</row>
    <row r="22" spans="1:158" s="4" customFormat="1" ht="13.7" customHeight="1">
      <c r="A22" s="39">
        <v>111111</v>
      </c>
      <c r="B22" s="27">
        <v>38694</v>
      </c>
      <c r="C22" s="34">
        <v>38713</v>
      </c>
      <c r="D22" s="33">
        <v>1200</v>
      </c>
      <c r="E22" s="36">
        <v>500</v>
      </c>
      <c r="F22" s="33">
        <v>1000</v>
      </c>
      <c r="G22" s="31">
        <v>0</v>
      </c>
      <c r="H22" s="32">
        <v>10</v>
      </c>
      <c r="I22" s="74">
        <f t="shared" ca="1" si="4"/>
        <v>-330</v>
      </c>
      <c r="J22" s="33">
        <f t="shared" si="0"/>
        <v>0</v>
      </c>
      <c r="K22" s="68">
        <f t="shared" ca="1" si="6"/>
        <v>340</v>
      </c>
      <c r="L22" s="40">
        <v>56</v>
      </c>
      <c r="M22" s="41" t="s">
        <v>28</v>
      </c>
      <c r="N22" s="40" t="s">
        <v>14</v>
      </c>
      <c r="O22" s="32">
        <v>23482</v>
      </c>
      <c r="P22" s="41" t="s">
        <v>27</v>
      </c>
      <c r="Q22" s="29">
        <v>500</v>
      </c>
      <c r="R22" s="33">
        <v>1000</v>
      </c>
      <c r="S22" s="29">
        <v>0</v>
      </c>
      <c r="T22" s="33">
        <f t="shared" si="1"/>
        <v>0</v>
      </c>
      <c r="U22" s="33">
        <f t="shared" si="8"/>
        <v>-1000</v>
      </c>
      <c r="V22" s="33">
        <f t="shared" si="9"/>
        <v>1000</v>
      </c>
      <c r="W22" s="42" t="s">
        <v>82</v>
      </c>
      <c r="X22" s="30" t="s">
        <v>17</v>
      </c>
      <c r="Y22" s="30" t="s">
        <v>17</v>
      </c>
      <c r="Z22" s="43" t="s">
        <v>89</v>
      </c>
      <c r="AA22" s="38" t="s">
        <v>88</v>
      </c>
      <c r="AB22" s="17"/>
      <c r="AC22" s="25" t="str">
        <f t="shared" ca="1" si="10"/>
        <v/>
      </c>
      <c r="AD22" s="26" t="str">
        <f t="shared" ca="1" si="11"/>
        <v/>
      </c>
      <c r="AE22" s="26" t="str">
        <f t="shared" ca="1" si="2"/>
        <v/>
      </c>
      <c r="AF22" s="26">
        <f t="shared" ca="1" si="12"/>
        <v>111111</v>
      </c>
      <c r="AG22" s="25" t="str">
        <f t="shared" ca="1" si="13"/>
        <v/>
      </c>
      <c r="AH22" s="26" t="str">
        <f t="shared" ca="1" si="14"/>
        <v/>
      </c>
      <c r="AI22" s="26" t="str">
        <f t="shared" ca="1" si="3"/>
        <v/>
      </c>
      <c r="AJ22" s="26">
        <f t="shared" ca="1" si="15"/>
        <v>56</v>
      </c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</row>
    <row r="23" spans="1:158" s="8" customFormat="1" ht="13.7" customHeight="1">
      <c r="A23" s="39">
        <v>123456</v>
      </c>
      <c r="B23" s="27">
        <v>38690</v>
      </c>
      <c r="C23" s="34">
        <v>38695</v>
      </c>
      <c r="D23" s="33">
        <v>375</v>
      </c>
      <c r="E23" s="36">
        <v>500</v>
      </c>
      <c r="F23" s="33">
        <v>375</v>
      </c>
      <c r="G23" s="31">
        <v>0.02</v>
      </c>
      <c r="H23" s="32">
        <v>10</v>
      </c>
      <c r="I23" s="74">
        <f t="shared" ca="1" si="4"/>
        <v>-334</v>
      </c>
      <c r="J23" s="33">
        <f t="shared" si="0"/>
        <v>7.5</v>
      </c>
      <c r="K23" s="68">
        <f t="shared" ca="1" si="6"/>
        <v>344</v>
      </c>
      <c r="L23" s="40">
        <v>567</v>
      </c>
      <c r="M23" s="41" t="s">
        <v>33</v>
      </c>
      <c r="N23" s="40" t="s">
        <v>13</v>
      </c>
      <c r="O23" s="32">
        <v>23456</v>
      </c>
      <c r="P23" s="41" t="s">
        <v>84</v>
      </c>
      <c r="Q23" s="29">
        <v>500</v>
      </c>
      <c r="R23" s="33">
        <v>375</v>
      </c>
      <c r="S23" s="29">
        <v>0</v>
      </c>
      <c r="T23" s="33">
        <f t="shared" si="1"/>
        <v>0</v>
      </c>
      <c r="U23" s="33">
        <f t="shared" si="8"/>
        <v>-375</v>
      </c>
      <c r="V23" s="33">
        <f t="shared" si="9"/>
        <v>375</v>
      </c>
      <c r="W23" s="42" t="s">
        <v>21</v>
      </c>
      <c r="X23" s="30" t="s">
        <v>17</v>
      </c>
      <c r="Y23" s="30" t="s">
        <v>17</v>
      </c>
      <c r="Z23" s="43" t="s">
        <v>89</v>
      </c>
      <c r="AA23" s="38" t="s">
        <v>87</v>
      </c>
      <c r="AB23" s="17"/>
      <c r="AC23" s="25" t="str">
        <f t="shared" ca="1" si="10"/>
        <v/>
      </c>
      <c r="AD23" s="26" t="str">
        <f t="shared" ca="1" si="11"/>
        <v/>
      </c>
      <c r="AE23" s="26" t="str">
        <f t="shared" ca="1" si="2"/>
        <v/>
      </c>
      <c r="AF23" s="26">
        <f t="shared" ca="1" si="12"/>
        <v>123456</v>
      </c>
      <c r="AG23" s="25" t="str">
        <f t="shared" ca="1" si="13"/>
        <v/>
      </c>
      <c r="AH23" s="26" t="str">
        <f t="shared" ca="1" si="14"/>
        <v/>
      </c>
      <c r="AI23" s="26" t="str">
        <f t="shared" ca="1" si="3"/>
        <v/>
      </c>
      <c r="AJ23" s="26">
        <f t="shared" ca="1" si="15"/>
        <v>567</v>
      </c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</row>
    <row r="24" spans="1:158" s="8" customFormat="1" ht="13.7" customHeight="1">
      <c r="A24" s="39">
        <v>123500</v>
      </c>
      <c r="B24" s="27">
        <v>38715</v>
      </c>
      <c r="C24" s="34">
        <v>38713</v>
      </c>
      <c r="D24" s="33">
        <v>999.99</v>
      </c>
      <c r="E24" s="36">
        <v>100</v>
      </c>
      <c r="F24" s="33">
        <v>850</v>
      </c>
      <c r="G24" s="31">
        <v>0.01</v>
      </c>
      <c r="H24" s="32">
        <v>10</v>
      </c>
      <c r="I24" s="74">
        <f t="shared" ca="1" si="4"/>
        <v>-309</v>
      </c>
      <c r="J24" s="33">
        <f t="shared" si="0"/>
        <v>9.9999000000000002</v>
      </c>
      <c r="K24" s="68">
        <f t="shared" ca="1" si="6"/>
        <v>319</v>
      </c>
      <c r="L24" s="40">
        <v>567</v>
      </c>
      <c r="M24" s="41" t="s">
        <v>33</v>
      </c>
      <c r="N24" s="40" t="s">
        <v>13</v>
      </c>
      <c r="O24" s="32">
        <v>23529</v>
      </c>
      <c r="P24" s="41" t="s">
        <v>7</v>
      </c>
      <c r="Q24" s="29">
        <v>100</v>
      </c>
      <c r="R24" s="33">
        <v>800</v>
      </c>
      <c r="S24" s="29">
        <v>100</v>
      </c>
      <c r="T24" s="33">
        <f t="shared" si="1"/>
        <v>-50</v>
      </c>
      <c r="U24" s="33">
        <f t="shared" si="8"/>
        <v>0</v>
      </c>
      <c r="V24" s="33">
        <f t="shared" si="9"/>
        <v>50</v>
      </c>
      <c r="W24" s="42" t="s">
        <v>66</v>
      </c>
      <c r="X24" s="30" t="s">
        <v>17</v>
      </c>
      <c r="Y24" s="30" t="s">
        <v>17</v>
      </c>
      <c r="Z24" s="43" t="s">
        <v>86</v>
      </c>
      <c r="AA24" s="38" t="s">
        <v>87</v>
      </c>
      <c r="AB24" s="17"/>
      <c r="AC24" s="25" t="str">
        <f t="shared" ca="1" si="10"/>
        <v/>
      </c>
      <c r="AD24" s="26" t="str">
        <f t="shared" ca="1" si="11"/>
        <v/>
      </c>
      <c r="AE24" s="26" t="str">
        <f t="shared" ca="1" si="2"/>
        <v/>
      </c>
      <c r="AF24" s="26">
        <f t="shared" ca="1" si="12"/>
        <v>123500</v>
      </c>
      <c r="AG24" s="25" t="str">
        <f t="shared" ca="1" si="13"/>
        <v/>
      </c>
      <c r="AH24" s="26" t="str">
        <f t="shared" ca="1" si="14"/>
        <v/>
      </c>
      <c r="AI24" s="26" t="str">
        <f t="shared" ca="1" si="3"/>
        <v/>
      </c>
      <c r="AJ24" s="26">
        <f t="shared" ca="1" si="15"/>
        <v>567</v>
      </c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</row>
    <row r="25" spans="1:158" s="8" customFormat="1" ht="13.7" customHeight="1">
      <c r="A25" s="39">
        <v>135789</v>
      </c>
      <c r="B25" s="27">
        <v>38685</v>
      </c>
      <c r="C25" s="34">
        <v>38712</v>
      </c>
      <c r="D25" s="33">
        <v>750</v>
      </c>
      <c r="E25" s="36">
        <v>150</v>
      </c>
      <c r="F25" s="33">
        <v>750</v>
      </c>
      <c r="G25" s="31">
        <v>0.01</v>
      </c>
      <c r="H25" s="32">
        <v>10</v>
      </c>
      <c r="I25" s="74">
        <f t="shared" ca="1" si="4"/>
        <v>-339</v>
      </c>
      <c r="J25" s="33">
        <f t="shared" si="0"/>
        <v>7.5</v>
      </c>
      <c r="K25" s="68">
        <f t="shared" ca="1" si="6"/>
        <v>349</v>
      </c>
      <c r="L25" s="40">
        <v>256</v>
      </c>
      <c r="M25" s="41" t="s">
        <v>20</v>
      </c>
      <c r="N25" s="40" t="s">
        <v>14</v>
      </c>
      <c r="O25" s="32">
        <v>23515</v>
      </c>
      <c r="P25" s="41" t="s">
        <v>6</v>
      </c>
      <c r="Q25" s="29">
        <v>150</v>
      </c>
      <c r="R25" s="33">
        <v>750</v>
      </c>
      <c r="S25" s="29">
        <v>0</v>
      </c>
      <c r="T25" s="33">
        <f t="shared" si="1"/>
        <v>0</v>
      </c>
      <c r="U25" s="33">
        <f t="shared" si="8"/>
        <v>-750</v>
      </c>
      <c r="V25" s="33">
        <f t="shared" si="9"/>
        <v>750</v>
      </c>
      <c r="W25" s="42" t="s">
        <v>21</v>
      </c>
      <c r="X25" s="30" t="s">
        <v>17</v>
      </c>
      <c r="Y25" s="30" t="s">
        <v>17</v>
      </c>
      <c r="Z25" s="43" t="s">
        <v>86</v>
      </c>
      <c r="AA25" s="38" t="s">
        <v>88</v>
      </c>
      <c r="AB25" s="17"/>
      <c r="AC25" s="25" t="str">
        <f t="shared" ca="1" si="10"/>
        <v/>
      </c>
      <c r="AD25" s="26" t="str">
        <f t="shared" ca="1" si="11"/>
        <v/>
      </c>
      <c r="AE25" s="26" t="str">
        <f t="shared" ca="1" si="2"/>
        <v/>
      </c>
      <c r="AF25" s="26">
        <f t="shared" ca="1" si="12"/>
        <v>135789</v>
      </c>
      <c r="AG25" s="25" t="str">
        <f t="shared" ca="1" si="13"/>
        <v/>
      </c>
      <c r="AH25" s="26" t="str">
        <f t="shared" ca="1" si="14"/>
        <v/>
      </c>
      <c r="AI25" s="26" t="str">
        <f t="shared" ca="1" si="3"/>
        <v/>
      </c>
      <c r="AJ25" s="26">
        <f t="shared" ca="1" si="15"/>
        <v>256</v>
      </c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</row>
    <row r="26" spans="1:158" s="8" customFormat="1" ht="13.7" customHeight="1">
      <c r="A26" s="39">
        <v>456789</v>
      </c>
      <c r="B26" s="27">
        <v>38687</v>
      </c>
      <c r="C26" s="34">
        <v>38716</v>
      </c>
      <c r="D26" s="33">
        <v>4400</v>
      </c>
      <c r="E26" s="36">
        <v>3</v>
      </c>
      <c r="F26" s="33">
        <v>4400</v>
      </c>
      <c r="G26" s="31">
        <v>0.01</v>
      </c>
      <c r="H26" s="32">
        <v>10</v>
      </c>
      <c r="I26" s="74">
        <f t="shared" ca="1" si="4"/>
        <v>-337</v>
      </c>
      <c r="J26" s="33">
        <f t="shared" si="0"/>
        <v>44</v>
      </c>
      <c r="K26" s="68">
        <f t="shared" ca="1" si="6"/>
        <v>347</v>
      </c>
      <c r="L26" s="40">
        <v>123</v>
      </c>
      <c r="M26" s="41" t="s">
        <v>23</v>
      </c>
      <c r="N26" s="40" t="s">
        <v>13</v>
      </c>
      <c r="O26" s="32"/>
      <c r="P26" s="41" t="s">
        <v>2</v>
      </c>
      <c r="Q26" s="29">
        <v>0</v>
      </c>
      <c r="R26" s="33">
        <v>0</v>
      </c>
      <c r="S26" s="29">
        <v>0</v>
      </c>
      <c r="T26" s="33">
        <f t="shared" si="1"/>
        <v>-4400</v>
      </c>
      <c r="U26" s="33">
        <f t="shared" si="8"/>
        <v>0</v>
      </c>
      <c r="V26" s="33">
        <f t="shared" si="9"/>
        <v>4400</v>
      </c>
      <c r="W26" s="42" t="s">
        <v>67</v>
      </c>
      <c r="X26" s="30" t="s">
        <v>17</v>
      </c>
      <c r="Y26" s="30" t="s">
        <v>17</v>
      </c>
      <c r="Z26" s="43" t="s">
        <v>89</v>
      </c>
      <c r="AA26" s="38" t="s">
        <v>87</v>
      </c>
      <c r="AB26" s="17"/>
      <c r="AC26" s="25" t="str">
        <f t="shared" ca="1" si="10"/>
        <v/>
      </c>
      <c r="AD26" s="26" t="str">
        <f t="shared" ca="1" si="11"/>
        <v/>
      </c>
      <c r="AE26" s="26" t="str">
        <f t="shared" ca="1" si="2"/>
        <v/>
      </c>
      <c r="AF26" s="26">
        <f t="shared" ca="1" si="12"/>
        <v>456789</v>
      </c>
      <c r="AG26" s="25" t="str">
        <f t="shared" ca="1" si="13"/>
        <v/>
      </c>
      <c r="AH26" s="26" t="str">
        <f t="shared" ca="1" si="14"/>
        <v/>
      </c>
      <c r="AI26" s="26" t="str">
        <f t="shared" ca="1" si="3"/>
        <v/>
      </c>
      <c r="AJ26" s="26">
        <f t="shared" ca="1" si="15"/>
        <v>123</v>
      </c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</row>
    <row r="27" spans="1:158" s="8" customFormat="1" ht="13.7" customHeight="1">
      <c r="A27" s="39">
        <v>456795</v>
      </c>
      <c r="B27" s="27">
        <v>38687</v>
      </c>
      <c r="C27" s="34">
        <v>38715</v>
      </c>
      <c r="D27" s="33">
        <v>3000</v>
      </c>
      <c r="E27" s="36">
        <v>2</v>
      </c>
      <c r="F27" s="33">
        <v>3000</v>
      </c>
      <c r="G27" s="31">
        <v>0.01</v>
      </c>
      <c r="H27" s="32">
        <v>10</v>
      </c>
      <c r="I27" s="74">
        <f t="shared" ca="1" si="4"/>
        <v>-337</v>
      </c>
      <c r="J27" s="33">
        <f t="shared" si="0"/>
        <v>30</v>
      </c>
      <c r="K27" s="68">
        <f t="shared" ca="1" si="6"/>
        <v>347</v>
      </c>
      <c r="L27" s="40">
        <v>123</v>
      </c>
      <c r="M27" s="41" t="s">
        <v>23</v>
      </c>
      <c r="N27" s="40" t="s">
        <v>13</v>
      </c>
      <c r="O27" s="32">
        <v>23378</v>
      </c>
      <c r="P27" s="41" t="s">
        <v>3</v>
      </c>
      <c r="Q27" s="29">
        <v>3</v>
      </c>
      <c r="R27" s="33">
        <v>3600</v>
      </c>
      <c r="S27" s="29">
        <v>3</v>
      </c>
      <c r="T27" s="33">
        <f t="shared" si="1"/>
        <v>600</v>
      </c>
      <c r="U27" s="33">
        <f t="shared" si="8"/>
        <v>1200</v>
      </c>
      <c r="V27" s="33">
        <f t="shared" si="9"/>
        <v>600</v>
      </c>
      <c r="W27" s="42" t="s">
        <v>66</v>
      </c>
      <c r="X27" s="30" t="s">
        <v>17</v>
      </c>
      <c r="Y27" s="30" t="s">
        <v>17</v>
      </c>
      <c r="Z27" s="43" t="s">
        <v>89</v>
      </c>
      <c r="AA27" s="38" t="s">
        <v>87</v>
      </c>
      <c r="AB27" s="17"/>
      <c r="AC27" s="25" t="str">
        <f t="shared" ca="1" si="10"/>
        <v/>
      </c>
      <c r="AD27" s="26" t="str">
        <f t="shared" ca="1" si="11"/>
        <v/>
      </c>
      <c r="AE27" s="26" t="str">
        <f t="shared" ca="1" si="2"/>
        <v/>
      </c>
      <c r="AF27" s="26">
        <f t="shared" ca="1" si="12"/>
        <v>456795</v>
      </c>
      <c r="AG27" s="25" t="str">
        <f t="shared" ca="1" si="13"/>
        <v/>
      </c>
      <c r="AH27" s="26" t="str">
        <f t="shared" ca="1" si="14"/>
        <v/>
      </c>
      <c r="AI27" s="26" t="str">
        <f t="shared" ca="1" si="3"/>
        <v/>
      </c>
      <c r="AJ27" s="26">
        <f t="shared" ca="1" si="15"/>
        <v>123</v>
      </c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</row>
    <row r="28" spans="1:158" s="8" customFormat="1" ht="13.7" customHeight="1">
      <c r="A28" s="39">
        <v>456796</v>
      </c>
      <c r="B28" s="27">
        <v>38687</v>
      </c>
      <c r="C28" s="34">
        <v>38716</v>
      </c>
      <c r="D28" s="33">
        <v>1587</v>
      </c>
      <c r="E28" s="36">
        <v>3</v>
      </c>
      <c r="F28" s="33">
        <v>1587</v>
      </c>
      <c r="G28" s="31">
        <v>0.01</v>
      </c>
      <c r="H28" s="32">
        <v>10</v>
      </c>
      <c r="I28" s="74">
        <f t="shared" ca="1" si="4"/>
        <v>-337</v>
      </c>
      <c r="J28" s="33">
        <f t="shared" si="0"/>
        <v>15.870000000000001</v>
      </c>
      <c r="K28" s="68">
        <f t="shared" ca="1" si="6"/>
        <v>347</v>
      </c>
      <c r="L28" s="40">
        <v>123</v>
      </c>
      <c r="M28" s="41" t="s">
        <v>23</v>
      </c>
      <c r="N28" s="40" t="s">
        <v>13</v>
      </c>
      <c r="O28" s="32">
        <v>23379</v>
      </c>
      <c r="P28" s="41" t="s">
        <v>4</v>
      </c>
      <c r="Q28" s="29">
        <v>3</v>
      </c>
      <c r="R28" s="33">
        <v>1500</v>
      </c>
      <c r="S28" s="29">
        <v>3</v>
      </c>
      <c r="T28" s="33">
        <f t="shared" si="1"/>
        <v>-87</v>
      </c>
      <c r="U28" s="33">
        <f t="shared" si="8"/>
        <v>0</v>
      </c>
      <c r="V28" s="33">
        <f t="shared" si="9"/>
        <v>87</v>
      </c>
      <c r="W28" s="42" t="s">
        <v>66</v>
      </c>
      <c r="X28" s="30" t="s">
        <v>17</v>
      </c>
      <c r="Y28" s="30" t="s">
        <v>17</v>
      </c>
      <c r="Z28" s="43" t="s">
        <v>89</v>
      </c>
      <c r="AA28" s="38" t="s">
        <v>87</v>
      </c>
      <c r="AB28" s="17"/>
      <c r="AC28" s="25" t="str">
        <f t="shared" ca="1" si="10"/>
        <v/>
      </c>
      <c r="AD28" s="26" t="str">
        <f t="shared" ca="1" si="11"/>
        <v/>
      </c>
      <c r="AE28" s="26" t="str">
        <f t="shared" ca="1" si="2"/>
        <v/>
      </c>
      <c r="AF28" s="26">
        <f t="shared" ca="1" si="12"/>
        <v>456796</v>
      </c>
      <c r="AG28" s="25" t="str">
        <f t="shared" ca="1" si="13"/>
        <v/>
      </c>
      <c r="AH28" s="26" t="str">
        <f t="shared" ca="1" si="14"/>
        <v/>
      </c>
      <c r="AI28" s="26" t="str">
        <f t="shared" ca="1" si="3"/>
        <v/>
      </c>
      <c r="AJ28" s="26">
        <f t="shared" ca="1" si="15"/>
        <v>123</v>
      </c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</row>
    <row r="29" spans="1:158" s="8" customFormat="1" ht="13.7" customHeight="1">
      <c r="A29" s="39">
        <v>456890</v>
      </c>
      <c r="B29" s="27">
        <v>38632</v>
      </c>
      <c r="C29" s="34">
        <v>38632</v>
      </c>
      <c r="D29" s="33">
        <v>250</v>
      </c>
      <c r="E29" s="36">
        <v>1</v>
      </c>
      <c r="F29" s="33">
        <v>250</v>
      </c>
      <c r="G29" s="31">
        <v>0.01</v>
      </c>
      <c r="H29" s="32">
        <v>10</v>
      </c>
      <c r="I29" s="74">
        <f t="shared" ca="1" si="4"/>
        <v>-392</v>
      </c>
      <c r="J29" s="33">
        <f t="shared" si="0"/>
        <v>2.5</v>
      </c>
      <c r="K29" s="68">
        <f t="shared" ca="1" si="6"/>
        <v>402</v>
      </c>
      <c r="L29" s="40">
        <v>125</v>
      </c>
      <c r="M29" s="41" t="s">
        <v>24</v>
      </c>
      <c r="N29" s="40" t="s">
        <v>14</v>
      </c>
      <c r="O29" s="32">
        <v>23481</v>
      </c>
      <c r="P29" s="41" t="s">
        <v>0</v>
      </c>
      <c r="Q29" s="29">
        <v>1</v>
      </c>
      <c r="R29" s="33">
        <v>250</v>
      </c>
      <c r="S29" s="29">
        <v>0</v>
      </c>
      <c r="T29" s="33">
        <f t="shared" si="1"/>
        <v>0</v>
      </c>
      <c r="U29" s="33">
        <f t="shared" si="8"/>
        <v>-250</v>
      </c>
      <c r="V29" s="33">
        <f t="shared" si="9"/>
        <v>250</v>
      </c>
      <c r="W29" s="42" t="s">
        <v>21</v>
      </c>
      <c r="X29" s="30" t="s">
        <v>17</v>
      </c>
      <c r="Y29" s="30" t="s">
        <v>17</v>
      </c>
      <c r="Z29" s="43" t="s">
        <v>89</v>
      </c>
      <c r="AA29" s="38" t="s">
        <v>93</v>
      </c>
      <c r="AB29" s="17"/>
      <c r="AC29" s="25" t="str">
        <f t="shared" ca="1" si="10"/>
        <v/>
      </c>
      <c r="AD29" s="26" t="str">
        <f t="shared" ca="1" si="11"/>
        <v/>
      </c>
      <c r="AE29" s="26" t="str">
        <f t="shared" ca="1" si="2"/>
        <v/>
      </c>
      <c r="AF29" s="26">
        <f t="shared" ca="1" si="12"/>
        <v>456890</v>
      </c>
      <c r="AG29" s="25" t="str">
        <f t="shared" ca="1" si="13"/>
        <v/>
      </c>
      <c r="AH29" s="26" t="str">
        <f t="shared" ca="1" si="14"/>
        <v/>
      </c>
      <c r="AI29" s="26" t="str">
        <f t="shared" ca="1" si="3"/>
        <v/>
      </c>
      <c r="AJ29" s="26">
        <f t="shared" ca="1" si="15"/>
        <v>125</v>
      </c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</row>
    <row r="30" spans="1:158" s="8" customFormat="1" ht="13.7" customHeight="1">
      <c r="A30" s="39">
        <v>456893</v>
      </c>
      <c r="B30" s="27">
        <v>38708</v>
      </c>
      <c r="C30" s="34">
        <v>38715</v>
      </c>
      <c r="D30" s="33">
        <v>193.5</v>
      </c>
      <c r="E30" s="36">
        <v>150</v>
      </c>
      <c r="F30" s="33">
        <v>193.5</v>
      </c>
      <c r="G30" s="31">
        <v>0.01</v>
      </c>
      <c r="H30" s="32">
        <v>10</v>
      </c>
      <c r="I30" s="74">
        <f t="shared" ca="1" si="4"/>
        <v>-316</v>
      </c>
      <c r="J30" s="33">
        <f t="shared" si="0"/>
        <v>1.9350000000000001</v>
      </c>
      <c r="K30" s="68">
        <f t="shared" ca="1" si="6"/>
        <v>326</v>
      </c>
      <c r="L30" s="40">
        <v>125</v>
      </c>
      <c r="M30" s="41" t="s">
        <v>24</v>
      </c>
      <c r="N30" s="40" t="s">
        <v>14</v>
      </c>
      <c r="O30" s="32">
        <v>23500</v>
      </c>
      <c r="P30" s="41" t="s">
        <v>11</v>
      </c>
      <c r="Q30" s="29">
        <v>100</v>
      </c>
      <c r="R30" s="33">
        <v>129</v>
      </c>
      <c r="S30" s="29">
        <v>100</v>
      </c>
      <c r="T30" s="33">
        <f t="shared" si="1"/>
        <v>-64.5</v>
      </c>
      <c r="U30" s="33">
        <f t="shared" si="8"/>
        <v>-64.5</v>
      </c>
      <c r="V30" s="33">
        <f t="shared" si="9"/>
        <v>64.5</v>
      </c>
      <c r="W30" s="42" t="s">
        <v>21</v>
      </c>
      <c r="X30" s="30" t="s">
        <v>17</v>
      </c>
      <c r="Y30" s="30" t="s">
        <v>17</v>
      </c>
      <c r="Z30" s="43" t="s">
        <v>85</v>
      </c>
      <c r="AA30" s="38" t="s">
        <v>93</v>
      </c>
      <c r="AB30" s="17"/>
      <c r="AC30" s="25" t="str">
        <f t="shared" ca="1" si="10"/>
        <v/>
      </c>
      <c r="AD30" s="26" t="str">
        <f t="shared" ca="1" si="11"/>
        <v/>
      </c>
      <c r="AE30" s="26" t="str">
        <f t="shared" ca="1" si="2"/>
        <v/>
      </c>
      <c r="AF30" s="26">
        <f t="shared" ca="1" si="12"/>
        <v>456893</v>
      </c>
      <c r="AG30" s="25" t="str">
        <f t="shared" ca="1" si="13"/>
        <v/>
      </c>
      <c r="AH30" s="26" t="str">
        <f t="shared" ca="1" si="14"/>
        <v/>
      </c>
      <c r="AI30" s="26" t="str">
        <f t="shared" ca="1" si="3"/>
        <v/>
      </c>
      <c r="AJ30" s="26">
        <f t="shared" ca="1" si="15"/>
        <v>125</v>
      </c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</row>
    <row r="31" spans="1:158" ht="13.7" customHeight="1">
      <c r="A31" s="39">
        <v>999989</v>
      </c>
      <c r="B31" s="27">
        <v>38698</v>
      </c>
      <c r="C31" s="34">
        <v>38687</v>
      </c>
      <c r="D31" s="33">
        <v>1700</v>
      </c>
      <c r="E31" s="36">
        <v>1</v>
      </c>
      <c r="F31" s="33">
        <v>1200</v>
      </c>
      <c r="G31" s="31">
        <v>0.01</v>
      </c>
      <c r="H31" s="32">
        <v>10</v>
      </c>
      <c r="I31" s="74">
        <f t="shared" ca="1" si="4"/>
        <v>-326</v>
      </c>
      <c r="J31" s="33">
        <f t="shared" si="0"/>
        <v>17</v>
      </c>
      <c r="K31" s="68">
        <f t="shared" ca="1" si="6"/>
        <v>336</v>
      </c>
      <c r="L31" s="40">
        <v>4</v>
      </c>
      <c r="M31" s="41" t="s">
        <v>74</v>
      </c>
      <c r="N31" s="40" t="s">
        <v>13</v>
      </c>
      <c r="O31" s="32">
        <v>23350</v>
      </c>
      <c r="P31" s="41" t="s">
        <v>73</v>
      </c>
      <c r="Q31" s="29">
        <v>0</v>
      </c>
      <c r="R31" s="33">
        <v>0</v>
      </c>
      <c r="S31" s="29">
        <v>0</v>
      </c>
      <c r="T31" s="33">
        <f t="shared" si="1"/>
        <v>-1200</v>
      </c>
      <c r="U31" s="33">
        <f t="shared" si="8"/>
        <v>0</v>
      </c>
      <c r="V31" s="33">
        <f t="shared" si="9"/>
        <v>1200</v>
      </c>
      <c r="W31" s="42" t="s">
        <v>67</v>
      </c>
      <c r="X31" s="30" t="s">
        <v>17</v>
      </c>
      <c r="Y31" s="30" t="s">
        <v>17</v>
      </c>
      <c r="Z31" s="43" t="s">
        <v>85</v>
      </c>
      <c r="AA31" s="38" t="s">
        <v>88</v>
      </c>
      <c r="AB31" s="17"/>
      <c r="AC31" s="25" t="str">
        <f t="shared" ca="1" si="10"/>
        <v/>
      </c>
      <c r="AD31" s="26" t="str">
        <f t="shared" ca="1" si="11"/>
        <v/>
      </c>
      <c r="AE31" s="26" t="str">
        <f t="shared" ca="1" si="2"/>
        <v/>
      </c>
      <c r="AF31" s="26">
        <f t="shared" ca="1" si="12"/>
        <v>999989</v>
      </c>
      <c r="AG31" s="25" t="str">
        <f t="shared" ca="1" si="13"/>
        <v/>
      </c>
      <c r="AH31" s="26" t="str">
        <f t="shared" ca="1" si="14"/>
        <v/>
      </c>
      <c r="AI31" s="26" t="str">
        <f t="shared" ca="1" si="3"/>
        <v/>
      </c>
      <c r="AJ31" s="26">
        <f t="shared" ca="1" si="15"/>
        <v>4</v>
      </c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</row>
    <row r="32" spans="1:158" ht="13.7" customHeight="1">
      <c r="A32" s="39">
        <v>999989</v>
      </c>
      <c r="B32" s="27">
        <v>38698</v>
      </c>
      <c r="C32" s="34">
        <v>38687</v>
      </c>
      <c r="D32" s="28">
        <v>1700</v>
      </c>
      <c r="E32" s="36">
        <v>1</v>
      </c>
      <c r="F32" s="28">
        <v>500</v>
      </c>
      <c r="G32" s="31">
        <v>0.01</v>
      </c>
      <c r="H32" s="32">
        <v>10</v>
      </c>
      <c r="I32" s="74">
        <f t="shared" ca="1" si="4"/>
        <v>-326</v>
      </c>
      <c r="J32" s="28">
        <f t="shared" ref="J32" si="16">G32*D32</f>
        <v>17</v>
      </c>
      <c r="K32" s="68">
        <f t="shared" ca="1" si="6"/>
        <v>336</v>
      </c>
      <c r="L32" s="40">
        <v>4</v>
      </c>
      <c r="M32" s="41" t="s">
        <v>74</v>
      </c>
      <c r="N32" s="40" t="s">
        <v>13</v>
      </c>
      <c r="O32" s="32">
        <v>23350</v>
      </c>
      <c r="P32" s="41" t="s">
        <v>103</v>
      </c>
      <c r="Q32" s="29">
        <v>0</v>
      </c>
      <c r="R32" s="28">
        <v>0</v>
      </c>
      <c r="S32" s="29">
        <v>0</v>
      </c>
      <c r="T32" s="28">
        <f t="shared" ref="T32" si="17">R32-F32</f>
        <v>-500</v>
      </c>
      <c r="U32" s="28">
        <f t="shared" si="8"/>
        <v>0</v>
      </c>
      <c r="V32" s="28">
        <f t="shared" si="9"/>
        <v>500</v>
      </c>
      <c r="W32" s="42" t="s">
        <v>67</v>
      </c>
      <c r="X32" s="30" t="s">
        <v>17</v>
      </c>
      <c r="Y32" s="30" t="s">
        <v>17</v>
      </c>
      <c r="Z32" s="43" t="s">
        <v>85</v>
      </c>
      <c r="AA32" s="38" t="s">
        <v>88</v>
      </c>
      <c r="AB32" s="17"/>
      <c r="AC32" s="25" t="str">
        <f t="shared" ca="1" si="10"/>
        <v/>
      </c>
      <c r="AD32" s="26" t="str">
        <f t="shared" ca="1" si="11"/>
        <v/>
      </c>
      <c r="AE32" s="26" t="str">
        <f t="shared" ca="1" si="2"/>
        <v/>
      </c>
      <c r="AF32" s="26">
        <f t="shared" ca="1" si="12"/>
        <v>999989</v>
      </c>
      <c r="AG32" s="25" t="str">
        <f t="shared" ca="1" si="13"/>
        <v/>
      </c>
      <c r="AH32" s="26" t="str">
        <f t="shared" ca="1" si="14"/>
        <v/>
      </c>
      <c r="AI32" s="26" t="str">
        <f t="shared" ca="1" si="3"/>
        <v/>
      </c>
      <c r="AJ32" s="26">
        <f t="shared" ca="1" si="15"/>
        <v>4</v>
      </c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</row>
    <row r="33" spans="1:158" ht="13.7" customHeight="1">
      <c r="A33" s="35"/>
      <c r="B33" s="44"/>
      <c r="C33" s="45"/>
      <c r="D33" s="45"/>
      <c r="E33" s="45"/>
      <c r="F33" s="45"/>
      <c r="G33" s="45"/>
      <c r="H33" s="45"/>
      <c r="I33" s="75"/>
      <c r="J33" s="45"/>
      <c r="K33" s="69"/>
      <c r="L33" s="46"/>
      <c r="M33" s="47"/>
      <c r="N33" s="47"/>
      <c r="O33" s="47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37"/>
      <c r="AB33" s="17"/>
      <c r="AC33" s="25"/>
      <c r="AD33" s="26"/>
      <c r="AE33" s="26"/>
      <c r="AF33" s="26"/>
      <c r="AG33" s="25"/>
      <c r="AH33" s="26"/>
      <c r="AI33" s="26"/>
      <c r="AJ33" s="26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</row>
    <row r="34" spans="1:158" ht="13.7" customHeight="1">
      <c r="A34" s="16"/>
      <c r="B34" s="13"/>
      <c r="C34" s="14"/>
      <c r="D34" s="14"/>
      <c r="E34" s="14"/>
      <c r="F34" s="14"/>
      <c r="G34" s="14"/>
      <c r="H34" s="14"/>
      <c r="I34" s="76"/>
      <c r="J34" s="14"/>
      <c r="K34" s="67"/>
      <c r="L34" s="15"/>
      <c r="M34" s="16"/>
      <c r="N34" s="16"/>
      <c r="O34" s="16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7"/>
      <c r="AC34" s="25"/>
      <c r="AD34" s="26"/>
      <c r="AE34" s="26"/>
      <c r="AF34" s="26"/>
      <c r="AG34" s="25"/>
      <c r="AH34" s="26"/>
      <c r="AI34" s="26"/>
      <c r="AJ34" s="26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</row>
    <row r="35" spans="1:158" ht="13.7" customHeight="1">
      <c r="A35" s="16"/>
      <c r="B35" s="13"/>
      <c r="C35" s="14"/>
      <c r="D35" s="14"/>
      <c r="E35" s="14"/>
      <c r="F35" s="14"/>
      <c r="G35" s="14"/>
      <c r="H35" s="14"/>
      <c r="I35" s="76"/>
      <c r="J35" s="14"/>
      <c r="K35" s="67"/>
      <c r="L35" s="15"/>
      <c r="M35" s="16"/>
      <c r="N35" s="16"/>
      <c r="O35" s="16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7"/>
      <c r="AC35" s="25"/>
      <c r="AD35" s="26"/>
      <c r="AE35" s="26"/>
      <c r="AF35" s="26"/>
      <c r="AG35" s="25"/>
      <c r="AH35" s="26"/>
      <c r="AI35" s="26"/>
      <c r="AJ35" s="26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</row>
    <row r="36" spans="1:158" ht="13.7" customHeight="1">
      <c r="A36" s="16"/>
      <c r="B36" s="16"/>
      <c r="C36" s="16"/>
      <c r="D36" s="16"/>
      <c r="E36" s="16"/>
      <c r="F36" s="16"/>
      <c r="G36" s="16"/>
      <c r="H36" s="16"/>
      <c r="I36" s="77"/>
      <c r="J36" s="16"/>
      <c r="K36" s="70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7"/>
      <c r="AC36" s="25"/>
      <c r="AD36" s="26"/>
      <c r="AE36" s="26"/>
      <c r="AF36" s="26"/>
      <c r="AG36" s="25"/>
      <c r="AH36" s="26"/>
      <c r="AI36" s="26"/>
      <c r="AJ36" s="26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</row>
    <row r="37" spans="1:158" ht="13.7" customHeight="1">
      <c r="A37" s="16"/>
      <c r="B37" s="16"/>
      <c r="C37" s="16"/>
      <c r="D37" s="16"/>
      <c r="E37" s="16"/>
      <c r="F37" s="16"/>
      <c r="G37" s="16"/>
      <c r="H37" s="16"/>
      <c r="I37" s="77"/>
      <c r="J37" s="16"/>
      <c r="K37" s="70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7"/>
      <c r="AC37" s="25"/>
      <c r="AD37" s="26"/>
      <c r="AE37" s="26"/>
      <c r="AF37" s="26"/>
      <c r="AG37" s="25"/>
      <c r="AH37" s="26"/>
      <c r="AI37" s="26"/>
      <c r="AJ37" s="26"/>
      <c r="AK37" s="17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</row>
    <row r="38" spans="1:158" ht="13.7" customHeight="1">
      <c r="A38" s="16"/>
      <c r="B38" s="16"/>
      <c r="C38" s="16"/>
      <c r="D38" s="16"/>
      <c r="E38" s="16"/>
      <c r="F38" s="16"/>
      <c r="G38" s="16"/>
      <c r="H38" s="16"/>
      <c r="I38" s="77"/>
      <c r="J38" s="16"/>
      <c r="K38" s="70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7"/>
      <c r="AC38" s="25"/>
      <c r="AD38" s="26"/>
      <c r="AE38" s="26"/>
      <c r="AF38" s="26"/>
      <c r="AG38" s="25"/>
      <c r="AH38" s="26"/>
      <c r="AI38" s="26"/>
      <c r="AJ38" s="26"/>
      <c r="AK38" s="17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</row>
    <row r="39" spans="1:158" ht="13.7" customHeight="1">
      <c r="A39" s="16"/>
      <c r="B39" s="16"/>
      <c r="C39" s="16"/>
      <c r="D39" s="16"/>
      <c r="E39" s="16"/>
      <c r="F39" s="16"/>
      <c r="G39" s="16"/>
      <c r="H39" s="16"/>
      <c r="I39" s="77"/>
      <c r="J39" s="16"/>
      <c r="K39" s="70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7"/>
      <c r="AC39" s="25"/>
      <c r="AD39" s="26"/>
      <c r="AE39" s="26"/>
      <c r="AF39" s="26"/>
      <c r="AG39" s="25"/>
      <c r="AH39" s="26"/>
      <c r="AI39" s="26"/>
      <c r="AJ39" s="26"/>
      <c r="AK39" s="17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</row>
    <row r="40" spans="1:158" ht="13.7" customHeight="1">
      <c r="A40" s="16"/>
      <c r="B40" s="16"/>
      <c r="C40" s="16"/>
      <c r="D40" s="16"/>
      <c r="E40" s="16"/>
      <c r="F40" s="16"/>
      <c r="G40" s="16"/>
      <c r="H40" s="16"/>
      <c r="I40" s="77"/>
      <c r="J40" s="16"/>
      <c r="K40" s="70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7"/>
      <c r="AC40" s="25"/>
      <c r="AD40" s="26"/>
      <c r="AE40" s="26"/>
      <c r="AF40" s="26"/>
      <c r="AG40" s="25"/>
      <c r="AH40" s="26"/>
      <c r="AI40" s="26"/>
      <c r="AJ40" s="26"/>
      <c r="AK40" s="17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</row>
    <row r="41" spans="1:158" ht="13.7" customHeight="1">
      <c r="A41" s="16"/>
      <c r="B41" s="16"/>
      <c r="C41" s="16"/>
      <c r="D41" s="16"/>
      <c r="E41" s="16"/>
      <c r="F41" s="16"/>
      <c r="G41" s="16"/>
      <c r="H41" s="16"/>
      <c r="I41" s="77"/>
      <c r="J41" s="16"/>
      <c r="K41" s="70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7"/>
      <c r="AC41" s="25"/>
      <c r="AD41" s="26"/>
      <c r="AE41" s="26"/>
      <c r="AF41" s="26"/>
      <c r="AG41" s="25"/>
      <c r="AH41" s="26"/>
      <c r="AI41" s="26"/>
      <c r="AJ41" s="26"/>
      <c r="AK41" s="17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</row>
    <row r="42" spans="1:158" ht="13.7" customHeight="1">
      <c r="A42" s="16"/>
      <c r="B42" s="16"/>
      <c r="C42" s="16"/>
      <c r="D42" s="16"/>
      <c r="E42" s="16"/>
      <c r="F42" s="16"/>
      <c r="G42" s="16"/>
      <c r="H42" s="16"/>
      <c r="I42" s="77"/>
      <c r="J42" s="16"/>
      <c r="K42" s="70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7"/>
      <c r="AC42" s="25"/>
      <c r="AD42" s="26"/>
      <c r="AE42" s="26"/>
      <c r="AF42" s="26"/>
      <c r="AG42" s="25"/>
      <c r="AH42" s="26"/>
      <c r="AI42" s="26"/>
      <c r="AJ42" s="26"/>
      <c r="AK42" s="17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</row>
    <row r="43" spans="1:158" ht="13.7" customHeight="1">
      <c r="A43" s="16"/>
      <c r="B43" s="16"/>
      <c r="C43" s="16"/>
      <c r="D43" s="16"/>
      <c r="E43" s="16"/>
      <c r="F43" s="16"/>
      <c r="G43" s="16"/>
      <c r="H43" s="16"/>
      <c r="I43" s="77"/>
      <c r="J43" s="16"/>
      <c r="K43" s="70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7"/>
      <c r="AC43" s="25"/>
      <c r="AD43" s="26"/>
      <c r="AE43" s="26"/>
      <c r="AF43" s="26"/>
      <c r="AG43" s="25"/>
      <c r="AH43" s="26"/>
      <c r="AI43" s="26"/>
      <c r="AJ43" s="26"/>
      <c r="AK43" s="17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</row>
    <row r="44" spans="1:158">
      <c r="A44" s="16"/>
      <c r="B44" s="16"/>
      <c r="C44" s="16"/>
      <c r="D44" s="16"/>
      <c r="E44" s="16"/>
      <c r="F44" s="16"/>
      <c r="G44" s="16"/>
      <c r="H44" s="16"/>
      <c r="I44" s="77"/>
      <c r="J44" s="16"/>
      <c r="K44" s="70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7"/>
      <c r="AC44" s="25"/>
      <c r="AD44" s="26"/>
      <c r="AE44" s="26"/>
      <c r="AF44" s="26"/>
      <c r="AG44" s="25"/>
      <c r="AH44" s="26"/>
      <c r="AI44" s="26"/>
      <c r="AJ44" s="26"/>
      <c r="AK44" s="17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</row>
    <row r="45" spans="1:158">
      <c r="A45" s="16"/>
      <c r="B45" s="16"/>
      <c r="C45" s="16"/>
      <c r="D45" s="16"/>
      <c r="E45" s="16"/>
      <c r="F45" s="16"/>
      <c r="G45" s="16"/>
      <c r="H45" s="16"/>
      <c r="I45" s="77"/>
      <c r="J45" s="16"/>
      <c r="K45" s="70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7"/>
      <c r="AC45" s="25"/>
      <c r="AD45" s="26"/>
      <c r="AE45" s="26"/>
      <c r="AF45" s="26"/>
      <c r="AG45" s="25"/>
      <c r="AH45" s="26"/>
      <c r="AI45" s="26"/>
      <c r="AJ45" s="26"/>
      <c r="AK45" s="17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</row>
    <row r="46" spans="1:158">
      <c r="A46" s="16"/>
      <c r="B46" s="16"/>
      <c r="C46" s="16"/>
      <c r="D46" s="16"/>
      <c r="E46" s="16"/>
      <c r="F46" s="16"/>
      <c r="G46" s="16"/>
      <c r="H46" s="16"/>
      <c r="I46" s="77"/>
      <c r="J46" s="16"/>
      <c r="K46" s="70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7"/>
      <c r="AC46" s="25"/>
      <c r="AD46" s="26"/>
      <c r="AE46" s="26"/>
      <c r="AF46" s="26"/>
      <c r="AG46" s="25"/>
      <c r="AH46" s="26"/>
      <c r="AI46" s="26"/>
      <c r="AJ46" s="26"/>
      <c r="AK46" s="17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</row>
    <row r="47" spans="1:158">
      <c r="A47" s="16"/>
      <c r="B47" s="16"/>
      <c r="C47" s="16"/>
      <c r="D47" s="16"/>
      <c r="E47" s="16"/>
      <c r="F47" s="16"/>
      <c r="G47" s="16"/>
      <c r="H47" s="16"/>
      <c r="I47" s="77"/>
      <c r="J47" s="16"/>
      <c r="K47" s="70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7"/>
      <c r="AC47" s="25"/>
      <c r="AD47" s="26"/>
      <c r="AE47" s="26"/>
      <c r="AF47" s="26"/>
      <c r="AG47" s="25"/>
      <c r="AH47" s="26"/>
      <c r="AI47" s="26"/>
      <c r="AJ47" s="26"/>
      <c r="AK47" s="17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</row>
    <row r="48" spans="1:158">
      <c r="A48" s="16"/>
      <c r="B48" s="16"/>
      <c r="C48" s="16"/>
      <c r="D48" s="16"/>
      <c r="E48" s="16"/>
      <c r="F48" s="16"/>
      <c r="G48" s="16"/>
      <c r="H48" s="16"/>
      <c r="I48" s="77"/>
      <c r="J48" s="16"/>
      <c r="K48" s="70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7"/>
      <c r="AC48" s="25"/>
      <c r="AD48" s="26"/>
      <c r="AE48" s="26"/>
      <c r="AF48" s="26"/>
      <c r="AG48" s="25"/>
      <c r="AH48" s="26"/>
      <c r="AI48" s="26"/>
      <c r="AJ48" s="26"/>
      <c r="AK48" s="17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</row>
    <row r="49" spans="1:158">
      <c r="A49" s="16"/>
      <c r="B49" s="16"/>
      <c r="C49" s="16"/>
      <c r="D49" s="16"/>
      <c r="E49" s="16"/>
      <c r="F49" s="16"/>
      <c r="G49" s="16"/>
      <c r="H49" s="16"/>
      <c r="I49" s="77"/>
      <c r="J49" s="16"/>
      <c r="K49" s="70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7"/>
      <c r="AC49" s="25"/>
      <c r="AD49" s="26"/>
      <c r="AE49" s="26"/>
      <c r="AF49" s="26"/>
      <c r="AG49" s="25"/>
      <c r="AH49" s="26"/>
      <c r="AI49" s="26"/>
      <c r="AJ49" s="26"/>
      <c r="AK49" s="17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</row>
    <row r="50" spans="1:158">
      <c r="A50" s="16"/>
      <c r="B50" s="16"/>
      <c r="C50" s="16"/>
      <c r="D50" s="16"/>
      <c r="E50" s="16"/>
      <c r="F50" s="16"/>
      <c r="G50" s="16"/>
      <c r="H50" s="16"/>
      <c r="I50" s="77"/>
      <c r="J50" s="16"/>
      <c r="K50" s="70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7"/>
      <c r="AC50" s="25"/>
      <c r="AD50" s="26"/>
      <c r="AE50" s="26"/>
      <c r="AF50" s="26"/>
      <c r="AG50" s="25"/>
      <c r="AH50" s="26"/>
      <c r="AI50" s="26"/>
      <c r="AJ50" s="26"/>
      <c r="AK50" s="17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</row>
    <row r="51" spans="1:158">
      <c r="A51" s="16"/>
      <c r="B51" s="16"/>
      <c r="C51" s="16"/>
      <c r="D51" s="16"/>
      <c r="E51" s="16"/>
      <c r="F51" s="16"/>
      <c r="G51" s="16"/>
      <c r="H51" s="16"/>
      <c r="I51" s="77"/>
      <c r="J51" s="16"/>
      <c r="K51" s="70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7"/>
      <c r="AC51" s="25"/>
      <c r="AD51" s="26"/>
      <c r="AE51" s="26"/>
      <c r="AF51" s="26"/>
      <c r="AG51" s="25"/>
      <c r="AH51" s="26"/>
      <c r="AI51" s="26"/>
      <c r="AJ51" s="26"/>
      <c r="AK51" s="17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</row>
    <row r="52" spans="1:158">
      <c r="A52" s="16"/>
      <c r="B52" s="16"/>
      <c r="C52" s="16"/>
      <c r="D52" s="16"/>
      <c r="E52" s="16"/>
      <c r="F52" s="16"/>
      <c r="G52" s="16"/>
      <c r="H52" s="16"/>
      <c r="I52" s="77"/>
      <c r="J52" s="16"/>
      <c r="K52" s="70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7"/>
      <c r="AC52" s="25"/>
      <c r="AD52" s="26"/>
      <c r="AE52" s="26"/>
      <c r="AF52" s="26"/>
      <c r="AG52" s="25"/>
      <c r="AH52" s="26"/>
      <c r="AI52" s="26"/>
      <c r="AJ52" s="26"/>
      <c r="AK52" s="17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</row>
    <row r="53" spans="1:158">
      <c r="A53" s="16"/>
      <c r="B53" s="16"/>
      <c r="C53" s="16"/>
      <c r="D53" s="16"/>
      <c r="E53" s="16"/>
      <c r="F53" s="16"/>
      <c r="G53" s="16"/>
      <c r="H53" s="16"/>
      <c r="I53" s="77"/>
      <c r="J53" s="16"/>
      <c r="K53" s="70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7"/>
      <c r="AC53" s="25"/>
      <c r="AD53" s="26"/>
      <c r="AE53" s="26"/>
      <c r="AF53" s="26"/>
      <c r="AG53" s="25"/>
      <c r="AH53" s="26"/>
      <c r="AI53" s="26"/>
      <c r="AJ53" s="26"/>
      <c r="AK53" s="17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</row>
    <row r="54" spans="1:158">
      <c r="A54" s="16"/>
      <c r="B54" s="16"/>
      <c r="C54" s="16"/>
      <c r="D54" s="16"/>
      <c r="E54" s="16"/>
      <c r="F54" s="16"/>
      <c r="G54" s="16"/>
      <c r="H54" s="16"/>
      <c r="I54" s="77"/>
      <c r="J54" s="16"/>
      <c r="K54" s="70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7"/>
      <c r="AC54" s="25"/>
      <c r="AD54" s="26"/>
      <c r="AE54" s="26"/>
      <c r="AF54" s="26"/>
      <c r="AG54" s="25"/>
      <c r="AH54" s="26"/>
      <c r="AI54" s="26"/>
      <c r="AJ54" s="26"/>
      <c r="AK54" s="17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</row>
    <row r="55" spans="1:158">
      <c r="A55" s="16"/>
      <c r="B55" s="16"/>
      <c r="C55" s="16"/>
      <c r="D55" s="16"/>
      <c r="E55" s="16"/>
      <c r="F55" s="16"/>
      <c r="G55" s="16"/>
      <c r="H55" s="16"/>
      <c r="I55" s="77"/>
      <c r="J55" s="16"/>
      <c r="K55" s="70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7"/>
      <c r="AC55" s="25"/>
      <c r="AD55" s="26"/>
      <c r="AE55" s="26"/>
      <c r="AF55" s="26"/>
      <c r="AG55" s="25"/>
      <c r="AH55" s="26"/>
      <c r="AI55" s="26"/>
      <c r="AJ55" s="26"/>
      <c r="AK55" s="17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</row>
    <row r="56" spans="1:158">
      <c r="A56" s="16"/>
      <c r="B56" s="16"/>
      <c r="C56" s="16"/>
      <c r="D56" s="16"/>
      <c r="E56" s="16"/>
      <c r="F56" s="16"/>
      <c r="G56" s="16"/>
      <c r="H56" s="16"/>
      <c r="I56" s="77"/>
      <c r="J56" s="16"/>
      <c r="K56" s="70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7"/>
      <c r="AC56" s="25"/>
      <c r="AD56" s="26"/>
      <c r="AE56" s="26"/>
      <c r="AF56" s="26"/>
      <c r="AG56" s="25"/>
      <c r="AH56" s="26"/>
      <c r="AI56" s="26"/>
      <c r="AJ56" s="26"/>
      <c r="AK56" s="17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</row>
    <row r="57" spans="1:158">
      <c r="A57" s="16"/>
      <c r="B57" s="16"/>
      <c r="C57" s="16"/>
      <c r="D57" s="16"/>
      <c r="E57" s="16"/>
      <c r="F57" s="16"/>
      <c r="G57" s="16"/>
      <c r="H57" s="16"/>
      <c r="I57" s="77"/>
      <c r="J57" s="16"/>
      <c r="K57" s="70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7"/>
      <c r="AC57" s="25"/>
      <c r="AD57" s="26"/>
      <c r="AE57" s="26"/>
      <c r="AF57" s="26"/>
      <c r="AG57" s="25"/>
      <c r="AH57" s="26"/>
      <c r="AI57" s="26"/>
      <c r="AJ57" s="26"/>
      <c r="AK57" s="17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</row>
    <row r="58" spans="1:158">
      <c r="A58" s="16"/>
      <c r="B58" s="16"/>
      <c r="C58" s="16"/>
      <c r="D58" s="16"/>
      <c r="E58" s="16"/>
      <c r="F58" s="16"/>
      <c r="G58" s="16"/>
      <c r="H58" s="16"/>
      <c r="I58" s="77"/>
      <c r="J58" s="16"/>
      <c r="K58" s="70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7"/>
      <c r="AC58" s="25"/>
      <c r="AD58" s="26"/>
      <c r="AE58" s="26"/>
      <c r="AF58" s="26"/>
      <c r="AG58" s="25"/>
      <c r="AH58" s="26"/>
      <c r="AI58" s="26"/>
      <c r="AJ58" s="26"/>
      <c r="AK58" s="17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</row>
    <row r="59" spans="1:158">
      <c r="A59" s="16"/>
      <c r="B59" s="16"/>
      <c r="C59" s="16"/>
      <c r="D59" s="16"/>
      <c r="E59" s="16"/>
      <c r="F59" s="16"/>
      <c r="G59" s="16"/>
      <c r="H59" s="16"/>
      <c r="I59" s="77"/>
      <c r="J59" s="16"/>
      <c r="K59" s="70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7"/>
      <c r="AC59" s="25"/>
      <c r="AD59" s="26"/>
      <c r="AE59" s="26"/>
      <c r="AF59" s="26"/>
      <c r="AG59" s="25"/>
      <c r="AH59" s="26"/>
      <c r="AI59" s="26"/>
      <c r="AJ59" s="26"/>
      <c r="AK59" s="17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</row>
    <row r="60" spans="1:158">
      <c r="A60" s="16"/>
      <c r="B60" s="16"/>
      <c r="C60" s="16"/>
      <c r="D60" s="16"/>
      <c r="E60" s="16"/>
      <c r="F60" s="16"/>
      <c r="G60" s="16"/>
      <c r="H60" s="16"/>
      <c r="I60" s="77"/>
      <c r="J60" s="16"/>
      <c r="K60" s="70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7"/>
      <c r="AC60" s="25"/>
      <c r="AD60" s="26"/>
      <c r="AE60" s="26"/>
      <c r="AF60" s="26"/>
      <c r="AG60" s="25"/>
      <c r="AH60" s="26"/>
      <c r="AI60" s="26"/>
      <c r="AJ60" s="26"/>
      <c r="AK60" s="17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</row>
    <row r="61" spans="1:158">
      <c r="A61" s="16"/>
      <c r="B61" s="16"/>
      <c r="C61" s="16"/>
      <c r="D61" s="16"/>
      <c r="E61" s="16"/>
      <c r="F61" s="16"/>
      <c r="G61" s="16"/>
      <c r="H61" s="16"/>
      <c r="I61" s="77"/>
      <c r="J61" s="16"/>
      <c r="K61" s="70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7"/>
      <c r="AC61" s="25"/>
      <c r="AD61" s="26"/>
      <c r="AE61" s="26"/>
      <c r="AF61" s="26"/>
      <c r="AG61" s="25"/>
      <c r="AH61" s="26"/>
      <c r="AI61" s="26"/>
      <c r="AJ61" s="26"/>
      <c r="AK61" s="17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</row>
    <row r="62" spans="1:158">
      <c r="A62" s="16"/>
      <c r="B62" s="16"/>
      <c r="C62" s="16"/>
      <c r="D62" s="16"/>
      <c r="E62" s="16"/>
      <c r="F62" s="16"/>
      <c r="G62" s="16"/>
      <c r="H62" s="16"/>
      <c r="I62" s="77"/>
      <c r="J62" s="16"/>
      <c r="K62" s="70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7"/>
      <c r="AC62" s="25"/>
      <c r="AD62" s="26"/>
      <c r="AE62" s="26"/>
      <c r="AF62" s="26"/>
      <c r="AG62" s="25"/>
      <c r="AH62" s="26"/>
      <c r="AI62" s="26"/>
      <c r="AJ62" s="26"/>
      <c r="AK62" s="17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</row>
    <row r="63" spans="1:158">
      <c r="A63" s="16"/>
      <c r="B63" s="16"/>
      <c r="C63" s="16"/>
      <c r="D63" s="16"/>
      <c r="E63" s="16"/>
      <c r="F63" s="16"/>
      <c r="G63" s="16"/>
      <c r="H63" s="16"/>
      <c r="I63" s="77"/>
      <c r="J63" s="16"/>
      <c r="K63" s="70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7"/>
      <c r="AC63" s="25"/>
      <c r="AD63" s="26"/>
      <c r="AE63" s="26"/>
      <c r="AF63" s="26"/>
      <c r="AG63" s="25"/>
      <c r="AH63" s="26"/>
      <c r="AI63" s="26"/>
      <c r="AJ63" s="26"/>
      <c r="AK63" s="17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</row>
    <row r="64" spans="1:158">
      <c r="A64" s="16"/>
      <c r="B64" s="16"/>
      <c r="C64" s="16"/>
      <c r="D64" s="16"/>
      <c r="E64" s="16"/>
      <c r="F64" s="16"/>
      <c r="G64" s="16"/>
      <c r="H64" s="16"/>
      <c r="I64" s="77"/>
      <c r="J64" s="16"/>
      <c r="K64" s="70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7"/>
      <c r="AC64" s="25"/>
      <c r="AD64" s="26"/>
      <c r="AE64" s="26"/>
      <c r="AF64" s="26"/>
      <c r="AG64" s="25"/>
      <c r="AH64" s="26"/>
      <c r="AI64" s="26"/>
      <c r="AJ64" s="26"/>
      <c r="AK64" s="17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</row>
    <row r="65" spans="1:158">
      <c r="A65" s="16"/>
      <c r="B65" s="16"/>
      <c r="C65" s="16"/>
      <c r="D65" s="16"/>
      <c r="E65" s="16"/>
      <c r="F65" s="16"/>
      <c r="G65" s="16"/>
      <c r="H65" s="16"/>
      <c r="I65" s="77"/>
      <c r="J65" s="16"/>
      <c r="K65" s="70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7"/>
      <c r="AC65" s="25"/>
      <c r="AD65" s="26"/>
      <c r="AE65" s="26"/>
      <c r="AF65" s="26"/>
      <c r="AG65" s="25"/>
      <c r="AH65" s="26"/>
      <c r="AI65" s="26"/>
      <c r="AJ65" s="26"/>
      <c r="AK65" s="17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</row>
    <row r="66" spans="1:158">
      <c r="A66" s="16"/>
      <c r="B66" s="16"/>
      <c r="C66" s="16"/>
      <c r="D66" s="16"/>
      <c r="E66" s="16"/>
      <c r="F66" s="16"/>
      <c r="G66" s="16"/>
      <c r="H66" s="16"/>
      <c r="I66" s="77"/>
      <c r="J66" s="16"/>
      <c r="K66" s="70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7"/>
      <c r="AC66" s="25"/>
      <c r="AD66" s="26"/>
      <c r="AE66" s="26"/>
      <c r="AF66" s="26"/>
      <c r="AG66" s="25"/>
      <c r="AH66" s="26"/>
      <c r="AI66" s="26"/>
      <c r="AJ66" s="26"/>
      <c r="AK66" s="17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</row>
    <row r="67" spans="1:158">
      <c r="A67" s="16"/>
      <c r="B67" s="16"/>
      <c r="C67" s="16"/>
      <c r="D67" s="16"/>
      <c r="E67" s="16"/>
      <c r="F67" s="16"/>
      <c r="G67" s="16"/>
      <c r="H67" s="16"/>
      <c r="I67" s="77"/>
      <c r="J67" s="16"/>
      <c r="K67" s="70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7"/>
      <c r="AC67" s="25"/>
      <c r="AD67" s="26"/>
      <c r="AE67" s="26"/>
      <c r="AF67" s="26"/>
      <c r="AG67" s="25"/>
      <c r="AH67" s="26"/>
      <c r="AI67" s="26"/>
      <c r="AJ67" s="26"/>
      <c r="AK67" s="17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</row>
    <row r="68" spans="1:158">
      <c r="A68" s="16"/>
      <c r="B68" s="16"/>
      <c r="C68" s="16"/>
      <c r="D68" s="16"/>
      <c r="E68" s="16"/>
      <c r="F68" s="16"/>
      <c r="G68" s="16"/>
      <c r="H68" s="16"/>
      <c r="I68" s="77"/>
      <c r="J68" s="16"/>
      <c r="K68" s="70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7"/>
      <c r="AC68" s="25"/>
      <c r="AD68" s="26"/>
      <c r="AE68" s="26"/>
      <c r="AF68" s="26"/>
      <c r="AG68" s="25"/>
      <c r="AH68" s="26"/>
      <c r="AI68" s="26"/>
      <c r="AJ68" s="26"/>
      <c r="AK68" s="17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</row>
    <row r="69" spans="1:158">
      <c r="A69" s="16"/>
      <c r="B69" s="16"/>
      <c r="C69" s="16"/>
      <c r="D69" s="16"/>
      <c r="E69" s="16"/>
      <c r="F69" s="16"/>
      <c r="G69" s="16"/>
      <c r="H69" s="16"/>
      <c r="I69" s="77"/>
      <c r="J69" s="16"/>
      <c r="K69" s="70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7"/>
      <c r="AC69" s="25"/>
      <c r="AD69" s="26"/>
      <c r="AE69" s="26"/>
      <c r="AF69" s="26"/>
      <c r="AG69" s="25"/>
      <c r="AH69" s="26"/>
      <c r="AI69" s="26"/>
      <c r="AJ69" s="26"/>
      <c r="AK69" s="17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</row>
    <row r="70" spans="1:158">
      <c r="A70" s="16"/>
      <c r="B70" s="16"/>
      <c r="C70" s="16"/>
      <c r="D70" s="16"/>
      <c r="E70" s="16"/>
      <c r="F70" s="16"/>
      <c r="G70" s="16"/>
      <c r="H70" s="16"/>
      <c r="I70" s="77"/>
      <c r="J70" s="16"/>
      <c r="K70" s="70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7"/>
      <c r="AC70" s="25"/>
      <c r="AD70" s="26"/>
      <c r="AE70" s="26"/>
      <c r="AF70" s="26"/>
      <c r="AG70" s="25"/>
      <c r="AH70" s="26"/>
      <c r="AI70" s="26"/>
      <c r="AJ70" s="26"/>
      <c r="AK70" s="17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/>
      <c r="EU70" s="16"/>
      <c r="EV70" s="16"/>
      <c r="EW70" s="16"/>
      <c r="EX70" s="16"/>
      <c r="EY70" s="16"/>
      <c r="EZ70" s="16"/>
      <c r="FA70" s="16"/>
      <c r="FB70" s="16"/>
    </row>
    <row r="71" spans="1:158">
      <c r="A71" s="16"/>
      <c r="B71" s="16"/>
      <c r="C71" s="16"/>
      <c r="D71" s="16"/>
      <c r="E71" s="16"/>
      <c r="F71" s="16"/>
      <c r="G71" s="16"/>
      <c r="H71" s="16"/>
      <c r="I71" s="77"/>
      <c r="J71" s="16"/>
      <c r="K71" s="70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7"/>
      <c r="AC71" s="25"/>
      <c r="AD71" s="26"/>
      <c r="AE71" s="26"/>
      <c r="AF71" s="26"/>
      <c r="AG71" s="25"/>
      <c r="AH71" s="26"/>
      <c r="AI71" s="26"/>
      <c r="AJ71" s="26"/>
      <c r="AK71" s="17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</row>
    <row r="72" spans="1:158">
      <c r="A72" s="16"/>
      <c r="B72" s="16"/>
      <c r="C72" s="16"/>
      <c r="D72" s="16"/>
      <c r="E72" s="16"/>
      <c r="F72" s="16"/>
      <c r="G72" s="16"/>
      <c r="H72" s="16"/>
      <c r="I72" s="77"/>
      <c r="J72" s="16"/>
      <c r="K72" s="70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7"/>
      <c r="AC72" s="25"/>
      <c r="AD72" s="26"/>
      <c r="AE72" s="26"/>
      <c r="AF72" s="26"/>
      <c r="AG72" s="25"/>
      <c r="AH72" s="26"/>
      <c r="AI72" s="26"/>
      <c r="AJ72" s="26"/>
      <c r="AK72" s="17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</row>
    <row r="73" spans="1:158">
      <c r="A73" s="16"/>
      <c r="B73" s="16"/>
      <c r="C73" s="16"/>
      <c r="D73" s="16"/>
      <c r="E73" s="16"/>
      <c r="F73" s="16"/>
      <c r="G73" s="16"/>
      <c r="H73" s="16"/>
      <c r="I73" s="77"/>
      <c r="J73" s="16"/>
      <c r="K73" s="70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7"/>
      <c r="AC73" s="25"/>
      <c r="AD73" s="26"/>
      <c r="AE73" s="26"/>
      <c r="AF73" s="26"/>
      <c r="AG73" s="25"/>
      <c r="AH73" s="26"/>
      <c r="AI73" s="26"/>
      <c r="AJ73" s="26"/>
      <c r="AK73" s="17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</row>
    <row r="74" spans="1:158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70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7"/>
      <c r="AC74" s="25"/>
      <c r="AD74" s="26"/>
      <c r="AE74" s="26"/>
      <c r="AF74" s="26"/>
      <c r="AG74" s="25"/>
      <c r="AH74" s="26"/>
      <c r="AI74" s="26"/>
      <c r="AJ74" s="26"/>
      <c r="AK74" s="17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</row>
    <row r="75" spans="1:158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70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7"/>
      <c r="AC75" s="25"/>
      <c r="AD75" s="26"/>
      <c r="AE75" s="26"/>
      <c r="AF75" s="26"/>
      <c r="AG75" s="25"/>
      <c r="AH75" s="26"/>
      <c r="AI75" s="26"/>
      <c r="AJ75" s="26"/>
      <c r="AK75" s="17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</row>
    <row r="76" spans="1:158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70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7"/>
      <c r="AC76" s="25"/>
      <c r="AD76" s="26"/>
      <c r="AE76" s="26"/>
      <c r="AF76" s="26"/>
      <c r="AG76" s="25"/>
      <c r="AH76" s="26"/>
      <c r="AI76" s="26"/>
      <c r="AJ76" s="26"/>
      <c r="AK76" s="17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</row>
    <row r="77" spans="1:158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70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7"/>
      <c r="AC77" s="25"/>
      <c r="AD77" s="26"/>
      <c r="AE77" s="26"/>
      <c r="AF77" s="26"/>
      <c r="AG77" s="25"/>
      <c r="AH77" s="26"/>
      <c r="AI77" s="26"/>
      <c r="AJ77" s="26"/>
      <c r="AK77" s="17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</row>
    <row r="78" spans="1:158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70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7"/>
      <c r="AC78" s="25"/>
      <c r="AD78" s="26"/>
      <c r="AE78" s="26"/>
      <c r="AF78" s="26"/>
      <c r="AG78" s="25"/>
      <c r="AH78" s="26"/>
      <c r="AI78" s="26"/>
      <c r="AJ78" s="26"/>
      <c r="AK78" s="17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</row>
    <row r="79" spans="1:158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70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7"/>
      <c r="AC79" s="25"/>
      <c r="AD79" s="26"/>
      <c r="AE79" s="26"/>
      <c r="AF79" s="26"/>
      <c r="AG79" s="25"/>
      <c r="AH79" s="26"/>
      <c r="AI79" s="26"/>
      <c r="AJ79" s="26"/>
      <c r="AK79" s="17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</row>
    <row r="80" spans="1:158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70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7"/>
      <c r="AC80" s="25"/>
      <c r="AD80" s="26"/>
      <c r="AE80" s="26"/>
      <c r="AF80" s="26"/>
      <c r="AG80" s="25"/>
      <c r="AH80" s="26"/>
      <c r="AI80" s="26"/>
      <c r="AJ80" s="26"/>
      <c r="AK80" s="17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</row>
    <row r="81" spans="1:158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70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7"/>
      <c r="AC81" s="25"/>
      <c r="AD81" s="26"/>
      <c r="AE81" s="26"/>
      <c r="AF81" s="26"/>
      <c r="AG81" s="25"/>
      <c r="AH81" s="26"/>
      <c r="AI81" s="26"/>
      <c r="AJ81" s="26"/>
      <c r="AK81" s="17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</row>
    <row r="82" spans="1:158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70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7"/>
      <c r="AC82" s="25"/>
      <c r="AD82" s="26"/>
      <c r="AE82" s="26"/>
      <c r="AF82" s="26"/>
      <c r="AG82" s="25"/>
      <c r="AH82" s="26"/>
      <c r="AI82" s="26"/>
      <c r="AJ82" s="26"/>
      <c r="AK82" s="17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</row>
    <row r="83" spans="1:158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70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7"/>
      <c r="AC83" s="25"/>
      <c r="AD83" s="26"/>
      <c r="AE83" s="26"/>
      <c r="AF83" s="26"/>
      <c r="AG83" s="25"/>
      <c r="AH83" s="26"/>
      <c r="AI83" s="26"/>
      <c r="AJ83" s="26"/>
      <c r="AK83" s="17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</row>
    <row r="84" spans="1:158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70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7"/>
      <c r="AC84" s="25"/>
      <c r="AD84" s="26"/>
      <c r="AE84" s="26"/>
      <c r="AF84" s="26"/>
      <c r="AG84" s="25"/>
      <c r="AH84" s="26"/>
      <c r="AI84" s="26"/>
      <c r="AJ84" s="26"/>
      <c r="AK84" s="17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</row>
    <row r="85" spans="1:158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70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7"/>
      <c r="AC85" s="25"/>
      <c r="AD85" s="26"/>
      <c r="AE85" s="26"/>
      <c r="AF85" s="26"/>
      <c r="AG85" s="25"/>
      <c r="AH85" s="26"/>
      <c r="AI85" s="26"/>
      <c r="AJ85" s="26"/>
      <c r="AK85" s="17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</row>
    <row r="86" spans="1:158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70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7"/>
      <c r="AC86" s="25"/>
      <c r="AD86" s="26"/>
      <c r="AE86" s="26"/>
      <c r="AF86" s="26"/>
      <c r="AG86" s="25"/>
      <c r="AH86" s="26"/>
      <c r="AI86" s="26"/>
      <c r="AJ86" s="26"/>
      <c r="AK86" s="17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</row>
    <row r="87" spans="1:158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70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7"/>
      <c r="AC87" s="25"/>
      <c r="AD87" s="26"/>
      <c r="AE87" s="26"/>
      <c r="AF87" s="26"/>
      <c r="AG87" s="25"/>
      <c r="AH87" s="26"/>
      <c r="AI87" s="26"/>
      <c r="AJ87" s="26"/>
      <c r="AK87" s="17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</row>
    <row r="88" spans="1:158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70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7"/>
      <c r="AC88" s="25"/>
      <c r="AD88" s="26"/>
      <c r="AE88" s="26"/>
      <c r="AF88" s="26"/>
      <c r="AG88" s="25"/>
      <c r="AH88" s="26"/>
      <c r="AI88" s="26"/>
      <c r="AJ88" s="26"/>
      <c r="AK88" s="17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</row>
    <row r="89" spans="1:158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70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7"/>
      <c r="AC89" s="25"/>
      <c r="AD89" s="26"/>
      <c r="AE89" s="26"/>
      <c r="AF89" s="26"/>
      <c r="AG89" s="25"/>
      <c r="AH89" s="26"/>
      <c r="AI89" s="26"/>
      <c r="AJ89" s="26"/>
      <c r="AK89" s="17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</row>
    <row r="90" spans="1:158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70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7"/>
      <c r="AC90" s="25"/>
      <c r="AD90" s="26"/>
      <c r="AE90" s="26"/>
      <c r="AF90" s="26"/>
      <c r="AG90" s="25"/>
      <c r="AH90" s="26"/>
      <c r="AI90" s="26"/>
      <c r="AJ90" s="26"/>
      <c r="AK90" s="17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</row>
    <row r="91" spans="1:158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70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7"/>
      <c r="AC91" s="25"/>
      <c r="AD91" s="26"/>
      <c r="AE91" s="26"/>
      <c r="AF91" s="26"/>
      <c r="AG91" s="25"/>
      <c r="AH91" s="26"/>
      <c r="AI91" s="26"/>
      <c r="AJ91" s="26"/>
      <c r="AK91" s="17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</row>
    <row r="92" spans="1:158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70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7"/>
      <c r="AC92" s="25"/>
      <c r="AD92" s="26"/>
      <c r="AE92" s="26"/>
      <c r="AF92" s="26"/>
      <c r="AG92" s="25"/>
      <c r="AH92" s="26"/>
      <c r="AI92" s="26"/>
      <c r="AJ92" s="26"/>
      <c r="AK92" s="17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</row>
    <row r="93" spans="1:158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70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7"/>
      <c r="AC93" s="25"/>
      <c r="AD93" s="26"/>
      <c r="AE93" s="26"/>
      <c r="AF93" s="26"/>
      <c r="AG93" s="25"/>
      <c r="AH93" s="26"/>
      <c r="AI93" s="26"/>
      <c r="AJ93" s="26"/>
      <c r="AK93" s="17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EU93" s="16"/>
      <c r="EV93" s="16"/>
      <c r="EW93" s="16"/>
      <c r="EX93" s="16"/>
      <c r="EY93" s="16"/>
      <c r="EZ93" s="16"/>
      <c r="FA93" s="16"/>
      <c r="FB93" s="16"/>
    </row>
    <row r="94" spans="1:158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70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7"/>
      <c r="AC94" s="25"/>
      <c r="AD94" s="26"/>
      <c r="AE94" s="26"/>
      <c r="AF94" s="26"/>
      <c r="AG94" s="25"/>
      <c r="AH94" s="26"/>
      <c r="AI94" s="26"/>
      <c r="AJ94" s="26"/>
      <c r="AK94" s="17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EU94" s="16"/>
      <c r="EV94" s="16"/>
      <c r="EW94" s="16"/>
      <c r="EX94" s="16"/>
      <c r="EY94" s="16"/>
      <c r="EZ94" s="16"/>
      <c r="FA94" s="16"/>
      <c r="FB94" s="16"/>
    </row>
    <row r="95" spans="1:158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70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7"/>
      <c r="AC95" s="25"/>
      <c r="AD95" s="26"/>
      <c r="AE95" s="26"/>
      <c r="AF95" s="26"/>
      <c r="AG95" s="25"/>
      <c r="AH95" s="26"/>
      <c r="AI95" s="26"/>
      <c r="AJ95" s="26"/>
      <c r="AK95" s="17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  <c r="EF95" s="16"/>
      <c r="EG95" s="16"/>
      <c r="EH95" s="16"/>
      <c r="EI95" s="16"/>
      <c r="EJ95" s="16"/>
      <c r="EK95" s="16"/>
      <c r="EL95" s="16"/>
      <c r="EM95" s="16"/>
      <c r="EN95" s="16"/>
      <c r="EO95" s="16"/>
      <c r="EP95" s="16"/>
      <c r="EQ95" s="16"/>
      <c r="ER95" s="16"/>
      <c r="ES95" s="16"/>
      <c r="ET95" s="16"/>
      <c r="EU95" s="16"/>
      <c r="EV95" s="16"/>
      <c r="EW95" s="16"/>
      <c r="EX95" s="16"/>
      <c r="EY95" s="16"/>
      <c r="EZ95" s="16"/>
      <c r="FA95" s="16"/>
      <c r="FB95" s="16"/>
    </row>
    <row r="96" spans="1:158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70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7"/>
      <c r="AC96" s="25"/>
      <c r="AD96" s="26"/>
      <c r="AE96" s="26"/>
      <c r="AF96" s="26"/>
      <c r="AG96" s="25"/>
      <c r="AH96" s="26"/>
      <c r="AI96" s="26"/>
      <c r="AJ96" s="26"/>
      <c r="AK96" s="17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</row>
    <row r="97" spans="1:158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70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7"/>
      <c r="AC97" s="25"/>
      <c r="AD97" s="26"/>
      <c r="AE97" s="26"/>
      <c r="AF97" s="26"/>
      <c r="AG97" s="25"/>
      <c r="AH97" s="26"/>
      <c r="AI97" s="26"/>
      <c r="AJ97" s="26"/>
      <c r="AK97" s="17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16"/>
      <c r="EJ97" s="16"/>
      <c r="EK97" s="16"/>
      <c r="EL97" s="16"/>
      <c r="EM97" s="16"/>
      <c r="EN97" s="16"/>
      <c r="EO97" s="16"/>
      <c r="EP97" s="16"/>
      <c r="EQ97" s="16"/>
      <c r="ER97" s="16"/>
      <c r="ES97" s="16"/>
      <c r="ET97" s="16"/>
      <c r="EU97" s="16"/>
      <c r="EV97" s="16"/>
      <c r="EW97" s="16"/>
      <c r="EX97" s="16"/>
      <c r="EY97" s="16"/>
      <c r="EZ97" s="16"/>
      <c r="FA97" s="16"/>
      <c r="FB97" s="16"/>
    </row>
    <row r="98" spans="1:158">
      <c r="A98" s="16"/>
      <c r="B98" s="13"/>
      <c r="C98" s="14"/>
      <c r="D98" s="14"/>
      <c r="E98" s="14"/>
      <c r="F98" s="14"/>
      <c r="G98" s="14"/>
      <c r="H98" s="14"/>
      <c r="I98" s="14"/>
      <c r="J98" s="14"/>
      <c r="K98" s="67"/>
      <c r="L98" s="15"/>
      <c r="M98" s="16"/>
      <c r="N98" s="16"/>
      <c r="O98" s="16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7"/>
      <c r="AC98" s="25"/>
      <c r="AD98" s="26"/>
      <c r="AE98" s="26"/>
      <c r="AF98" s="26"/>
      <c r="AG98" s="25"/>
      <c r="AH98" s="26"/>
      <c r="AI98" s="26"/>
      <c r="AJ98" s="26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  <c r="BI98" s="17"/>
      <c r="BJ98" s="17"/>
      <c r="BK98" s="17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/>
      <c r="DO98" s="17"/>
      <c r="DP98" s="17"/>
      <c r="DQ98" s="17"/>
      <c r="DR98" s="17"/>
      <c r="DS98" s="17"/>
      <c r="DT98" s="17"/>
      <c r="DU98" s="17"/>
      <c r="DV98" s="17"/>
      <c r="DW98" s="17"/>
      <c r="DX98" s="17"/>
      <c r="DY98" s="17"/>
      <c r="DZ98" s="17"/>
      <c r="EA98" s="17"/>
      <c r="EB98" s="17"/>
      <c r="EC98" s="17"/>
      <c r="ED98" s="17"/>
      <c r="EE98" s="17"/>
      <c r="EF98" s="17"/>
      <c r="EG98" s="17"/>
      <c r="EH98" s="17"/>
      <c r="EI98" s="17"/>
      <c r="EJ98" s="17"/>
      <c r="EK98" s="17"/>
      <c r="EL98" s="17"/>
      <c r="EM98" s="17"/>
      <c r="EN98" s="17"/>
      <c r="EO98" s="17"/>
      <c r="EP98" s="17"/>
      <c r="EQ98" s="17"/>
      <c r="ER98" s="17"/>
      <c r="ES98" s="17"/>
      <c r="ET98" s="17"/>
      <c r="EU98" s="17"/>
      <c r="EV98" s="17"/>
      <c r="EW98" s="17"/>
      <c r="EX98" s="17"/>
      <c r="EY98" s="17"/>
      <c r="EZ98" s="17"/>
      <c r="FA98" s="17"/>
      <c r="FB98" s="17"/>
    </row>
    <row r="99" spans="1:158">
      <c r="A99" s="16"/>
      <c r="B99" s="13"/>
      <c r="C99" s="14"/>
      <c r="D99" s="14"/>
      <c r="E99" s="14"/>
      <c r="F99" s="14"/>
      <c r="G99" s="14"/>
      <c r="H99" s="14"/>
      <c r="I99" s="14"/>
      <c r="J99" s="14"/>
      <c r="K99" s="67"/>
      <c r="L99" s="15"/>
      <c r="M99" s="16"/>
      <c r="N99" s="16"/>
      <c r="O99" s="16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7"/>
      <c r="AC99" s="25"/>
      <c r="AD99" s="26"/>
      <c r="AE99" s="26"/>
      <c r="AF99" s="26"/>
      <c r="AG99" s="25"/>
      <c r="AH99" s="26"/>
      <c r="AI99" s="26"/>
      <c r="AJ99" s="26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  <c r="BI99" s="17"/>
      <c r="BJ99" s="17"/>
      <c r="BK99" s="17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7"/>
      <c r="DB99" s="17"/>
      <c r="DC99" s="17"/>
      <c r="DD99" s="17"/>
      <c r="DE99" s="17"/>
      <c r="DF99" s="17"/>
      <c r="DG99" s="17"/>
      <c r="DH99" s="17"/>
      <c r="DI99" s="17"/>
      <c r="DJ99" s="17"/>
      <c r="DK99" s="17"/>
      <c r="DL99" s="17"/>
      <c r="DM99" s="17"/>
      <c r="DN99" s="17"/>
      <c r="DO99" s="17"/>
      <c r="DP99" s="17"/>
      <c r="DQ99" s="17"/>
      <c r="DR99" s="17"/>
      <c r="DS99" s="17"/>
      <c r="DT99" s="17"/>
      <c r="DU99" s="17"/>
      <c r="DV99" s="17"/>
      <c r="DW99" s="17"/>
      <c r="DX99" s="17"/>
      <c r="DY99" s="17"/>
      <c r="DZ99" s="17"/>
      <c r="EA99" s="17"/>
      <c r="EB99" s="17"/>
      <c r="EC99" s="17"/>
      <c r="ED99" s="17"/>
      <c r="EE99" s="17"/>
      <c r="EF99" s="17"/>
      <c r="EG99" s="17"/>
      <c r="EH99" s="17"/>
      <c r="EI99" s="17"/>
      <c r="EJ99" s="17"/>
      <c r="EK99" s="17"/>
      <c r="EL99" s="17"/>
      <c r="EM99" s="17"/>
      <c r="EN99" s="17"/>
      <c r="EO99" s="17"/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7"/>
      <c r="FA99" s="17"/>
      <c r="FB99" s="17"/>
    </row>
    <row r="100" spans="1:158">
      <c r="A100" s="16"/>
      <c r="B100" s="13"/>
      <c r="C100" s="14"/>
      <c r="D100" s="14"/>
      <c r="E100" s="14"/>
      <c r="F100" s="14"/>
      <c r="G100" s="14"/>
      <c r="H100" s="14"/>
      <c r="I100" s="14"/>
      <c r="J100" s="14"/>
      <c r="K100" s="67"/>
      <c r="L100" s="15"/>
      <c r="M100" s="16"/>
      <c r="N100" s="16"/>
      <c r="O100" s="16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7"/>
      <c r="AC100" s="25"/>
      <c r="AD100" s="26"/>
      <c r="AE100" s="26"/>
      <c r="AF100" s="26"/>
      <c r="AG100" s="25"/>
      <c r="AH100" s="26"/>
      <c r="AI100" s="26"/>
      <c r="AJ100" s="26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  <c r="BI100" s="17"/>
      <c r="BJ100" s="17"/>
      <c r="BK100" s="17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7"/>
      <c r="DB100" s="17"/>
      <c r="DC100" s="17"/>
      <c r="DD100" s="17"/>
      <c r="DE100" s="17"/>
      <c r="DF100" s="17"/>
      <c r="DG100" s="17"/>
      <c r="DH100" s="17"/>
      <c r="DI100" s="17"/>
      <c r="DJ100" s="17"/>
      <c r="DK100" s="17"/>
      <c r="DL100" s="17"/>
      <c r="DM100" s="17"/>
      <c r="DN100" s="17"/>
      <c r="DO100" s="17"/>
      <c r="DP100" s="17"/>
      <c r="DQ100" s="17"/>
      <c r="DR100" s="17"/>
      <c r="DS100" s="17"/>
      <c r="DT100" s="17"/>
      <c r="DU100" s="17"/>
      <c r="DV100" s="17"/>
      <c r="DW100" s="17"/>
      <c r="DX100" s="17"/>
      <c r="DY100" s="17"/>
      <c r="DZ100" s="17"/>
      <c r="EA100" s="17"/>
      <c r="EB100" s="17"/>
      <c r="EC100" s="17"/>
      <c r="ED100" s="17"/>
      <c r="EE100" s="17"/>
      <c r="EF100" s="17"/>
      <c r="EG100" s="17"/>
      <c r="EH100" s="17"/>
      <c r="EI100" s="17"/>
      <c r="EJ100" s="17"/>
      <c r="EK100" s="17"/>
      <c r="EL100" s="17"/>
      <c r="EM100" s="17"/>
      <c r="EN100" s="17"/>
      <c r="EO100" s="17"/>
      <c r="EP100" s="17"/>
      <c r="EQ100" s="17"/>
      <c r="ER100" s="17"/>
      <c r="ES100" s="17"/>
      <c r="ET100" s="17"/>
      <c r="EU100" s="17"/>
      <c r="EV100" s="17"/>
      <c r="EW100" s="17"/>
      <c r="EX100" s="17"/>
      <c r="EY100" s="17"/>
      <c r="EZ100" s="17"/>
      <c r="FA100" s="17"/>
      <c r="FB100" s="17"/>
    </row>
    <row r="101" spans="1:158">
      <c r="A101" s="16"/>
      <c r="B101" s="13"/>
      <c r="C101" s="14"/>
      <c r="D101" s="14"/>
      <c r="E101" s="14"/>
      <c r="F101" s="14"/>
      <c r="G101" s="14"/>
      <c r="H101" s="14"/>
      <c r="I101" s="14"/>
      <c r="J101" s="14"/>
      <c r="K101" s="67"/>
      <c r="L101" s="15"/>
      <c r="M101" s="16"/>
      <c r="N101" s="16"/>
      <c r="O101" s="16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7"/>
      <c r="AC101" s="25"/>
      <c r="AD101" s="26"/>
      <c r="AE101" s="26"/>
      <c r="AF101" s="26"/>
      <c r="AG101" s="25"/>
      <c r="AH101" s="26"/>
      <c r="AI101" s="26"/>
      <c r="AJ101" s="26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  <c r="DG101" s="17"/>
      <c r="DH101" s="17"/>
      <c r="DI101" s="17"/>
      <c r="DJ101" s="17"/>
      <c r="DK101" s="17"/>
      <c r="DL101" s="17"/>
      <c r="DM101" s="17"/>
      <c r="DN101" s="17"/>
      <c r="DO101" s="17"/>
      <c r="DP101" s="17"/>
      <c r="DQ101" s="17"/>
      <c r="DR101" s="17"/>
      <c r="DS101" s="17"/>
      <c r="DT101" s="17"/>
      <c r="DU101" s="17"/>
      <c r="DV101" s="17"/>
      <c r="DW101" s="17"/>
      <c r="DX101" s="17"/>
      <c r="DY101" s="17"/>
      <c r="DZ101" s="17"/>
      <c r="EA101" s="17"/>
      <c r="EB101" s="17"/>
      <c r="EC101" s="17"/>
      <c r="ED101" s="17"/>
      <c r="EE101" s="17"/>
      <c r="EF101" s="17"/>
      <c r="EG101" s="17"/>
      <c r="EH101" s="17"/>
      <c r="EI101" s="17"/>
      <c r="EJ101" s="17"/>
      <c r="EK101" s="17"/>
      <c r="EL101" s="17"/>
      <c r="EM101" s="17"/>
      <c r="EN101" s="17"/>
      <c r="EO101" s="17"/>
      <c r="EP101" s="17"/>
      <c r="EQ101" s="17"/>
      <c r="ER101" s="17"/>
      <c r="ES101" s="17"/>
      <c r="ET101" s="17"/>
      <c r="EU101" s="17"/>
      <c r="EV101" s="17"/>
      <c r="EW101" s="17"/>
      <c r="EX101" s="17"/>
      <c r="EY101" s="17"/>
      <c r="EZ101" s="17"/>
      <c r="FA101" s="17"/>
      <c r="FB101" s="17"/>
    </row>
    <row r="102" spans="1:158">
      <c r="A102" s="16"/>
      <c r="B102" s="13"/>
      <c r="C102" s="14"/>
      <c r="D102" s="14"/>
      <c r="E102" s="14"/>
      <c r="F102" s="14"/>
      <c r="G102" s="14"/>
      <c r="H102" s="14"/>
      <c r="I102" s="14"/>
      <c r="J102" s="14"/>
      <c r="K102" s="67"/>
      <c r="L102" s="15"/>
      <c r="M102" s="16"/>
      <c r="N102" s="16"/>
      <c r="O102" s="16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7"/>
      <c r="AC102" s="25"/>
      <c r="AD102" s="26"/>
      <c r="AE102" s="26"/>
      <c r="AF102" s="26"/>
      <c r="AG102" s="25"/>
      <c r="AH102" s="26"/>
      <c r="AI102" s="26"/>
      <c r="AJ102" s="26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</row>
    <row r="103" spans="1:158">
      <c r="A103" s="16"/>
      <c r="B103" s="13"/>
      <c r="C103" s="14"/>
      <c r="D103" s="14"/>
      <c r="E103" s="14"/>
      <c r="F103" s="14"/>
      <c r="G103" s="14"/>
      <c r="H103" s="14"/>
      <c r="I103" s="14"/>
      <c r="J103" s="14"/>
      <c r="K103" s="67"/>
      <c r="L103" s="15"/>
      <c r="M103" s="16"/>
      <c r="N103" s="16"/>
      <c r="O103" s="16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7"/>
      <c r="AC103" s="25"/>
      <c r="AD103" s="26"/>
      <c r="AE103" s="26"/>
      <c r="AF103" s="26"/>
      <c r="AG103" s="25"/>
      <c r="AH103" s="26"/>
      <c r="AI103" s="26"/>
      <c r="AJ103" s="26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  <c r="CZ103" s="17"/>
      <c r="DA103" s="17"/>
      <c r="DB103" s="17"/>
      <c r="DC103" s="17"/>
      <c r="DD103" s="17"/>
      <c r="DE103" s="17"/>
      <c r="DF103" s="17"/>
      <c r="DG103" s="17"/>
      <c r="DH103" s="17"/>
      <c r="DI103" s="17"/>
      <c r="DJ103" s="17"/>
      <c r="DK103" s="17"/>
      <c r="DL103" s="17"/>
      <c r="DM103" s="17"/>
      <c r="DN103" s="17"/>
      <c r="DO103" s="17"/>
      <c r="DP103" s="17"/>
      <c r="DQ103" s="17"/>
      <c r="DR103" s="17"/>
      <c r="DS103" s="17"/>
      <c r="DT103" s="17"/>
      <c r="DU103" s="17"/>
      <c r="DV103" s="17"/>
      <c r="DW103" s="17"/>
      <c r="DX103" s="17"/>
      <c r="DY103" s="17"/>
      <c r="DZ103" s="17"/>
      <c r="EA103" s="17"/>
      <c r="EB103" s="17"/>
      <c r="EC103" s="17"/>
      <c r="ED103" s="17"/>
      <c r="EE103" s="17"/>
      <c r="EF103" s="17"/>
      <c r="EG103" s="17"/>
      <c r="EH103" s="17"/>
      <c r="EI103" s="17"/>
      <c r="EJ103" s="17"/>
      <c r="EK103" s="17"/>
      <c r="EL103" s="17"/>
      <c r="EM103" s="17"/>
      <c r="EN103" s="17"/>
      <c r="EO103" s="17"/>
      <c r="EP103" s="17"/>
      <c r="EQ103" s="17"/>
      <c r="ER103" s="17"/>
      <c r="ES103" s="17"/>
      <c r="ET103" s="17"/>
      <c r="EU103" s="17"/>
      <c r="EV103" s="17"/>
      <c r="EW103" s="17"/>
      <c r="EX103" s="17"/>
      <c r="EY103" s="17"/>
      <c r="EZ103" s="17"/>
      <c r="FA103" s="17"/>
      <c r="FB103" s="17"/>
    </row>
    <row r="104" spans="1:158">
      <c r="A104" s="16"/>
      <c r="B104" s="13"/>
      <c r="C104" s="14"/>
      <c r="D104" s="14"/>
      <c r="E104" s="14"/>
      <c r="F104" s="14"/>
      <c r="G104" s="14"/>
      <c r="H104" s="14"/>
      <c r="I104" s="14"/>
      <c r="J104" s="14"/>
      <c r="K104" s="67"/>
      <c r="L104" s="15"/>
      <c r="M104" s="16"/>
      <c r="N104" s="16"/>
      <c r="O104" s="16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7"/>
      <c r="AC104" s="25"/>
      <c r="AD104" s="26"/>
      <c r="AE104" s="26"/>
      <c r="AF104" s="26"/>
      <c r="AG104" s="25"/>
      <c r="AH104" s="26"/>
      <c r="AI104" s="26"/>
      <c r="AJ104" s="26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  <c r="CZ104" s="17"/>
      <c r="DA104" s="17"/>
      <c r="DB104" s="17"/>
      <c r="DC104" s="17"/>
      <c r="DD104" s="17"/>
      <c r="DE104" s="17"/>
      <c r="DF104" s="17"/>
      <c r="DG104" s="17"/>
      <c r="DH104" s="17"/>
      <c r="DI104" s="17"/>
      <c r="DJ104" s="17"/>
      <c r="DK104" s="17"/>
      <c r="DL104" s="17"/>
      <c r="DM104" s="17"/>
      <c r="DN104" s="17"/>
      <c r="DO104" s="17"/>
      <c r="DP104" s="17"/>
      <c r="DQ104" s="17"/>
      <c r="DR104" s="17"/>
      <c r="DS104" s="17"/>
      <c r="DT104" s="17"/>
      <c r="DU104" s="17"/>
      <c r="DV104" s="17"/>
      <c r="DW104" s="17"/>
      <c r="DX104" s="17"/>
      <c r="DY104" s="17"/>
      <c r="DZ104" s="17"/>
      <c r="EA104" s="17"/>
      <c r="EB104" s="17"/>
      <c r="EC104" s="17"/>
      <c r="ED104" s="17"/>
      <c r="EE104" s="17"/>
      <c r="EF104" s="17"/>
      <c r="EG104" s="17"/>
      <c r="EH104" s="17"/>
      <c r="EI104" s="17"/>
      <c r="EJ104" s="17"/>
      <c r="EK104" s="17"/>
      <c r="EL104" s="17"/>
      <c r="EM104" s="17"/>
      <c r="EN104" s="17"/>
      <c r="EO104" s="17"/>
      <c r="EP104" s="17"/>
      <c r="EQ104" s="17"/>
      <c r="ER104" s="17"/>
      <c r="ES104" s="17"/>
      <c r="ET104" s="17"/>
      <c r="EU104" s="17"/>
      <c r="EV104" s="17"/>
      <c r="EW104" s="17"/>
      <c r="EX104" s="17"/>
      <c r="EY104" s="17"/>
      <c r="EZ104" s="17"/>
      <c r="FA104" s="17"/>
      <c r="FB104" s="17"/>
    </row>
    <row r="105" spans="1:158">
      <c r="A105" s="16"/>
      <c r="B105" s="13"/>
      <c r="C105" s="14"/>
      <c r="D105" s="14"/>
      <c r="E105" s="14"/>
      <c r="F105" s="14"/>
      <c r="G105" s="14"/>
      <c r="H105" s="14"/>
      <c r="I105" s="14"/>
      <c r="J105" s="14"/>
      <c r="K105" s="67"/>
      <c r="L105" s="15"/>
      <c r="M105" s="16"/>
      <c r="N105" s="16"/>
      <c r="O105" s="16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7"/>
      <c r="AC105" s="25"/>
      <c r="AD105" s="26"/>
      <c r="AE105" s="26"/>
      <c r="AF105" s="26"/>
      <c r="AG105" s="25"/>
      <c r="AH105" s="26"/>
      <c r="AI105" s="26"/>
      <c r="AJ105" s="26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7"/>
      <c r="EZ105" s="17"/>
      <c r="FA105" s="17"/>
      <c r="FB105" s="17"/>
    </row>
    <row r="106" spans="1:158">
      <c r="A106" s="16"/>
      <c r="B106" s="13"/>
      <c r="C106" s="14"/>
      <c r="D106" s="14"/>
      <c r="E106" s="14"/>
      <c r="F106" s="14"/>
      <c r="G106" s="14"/>
      <c r="H106" s="14"/>
      <c r="I106" s="14"/>
      <c r="J106" s="14"/>
      <c r="K106" s="67"/>
      <c r="L106" s="15"/>
      <c r="M106" s="16"/>
      <c r="N106" s="16"/>
      <c r="O106" s="16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7"/>
      <c r="AC106" s="25"/>
      <c r="AD106" s="26"/>
      <c r="AE106" s="26"/>
      <c r="AF106" s="26"/>
      <c r="AG106" s="25"/>
      <c r="AH106" s="26"/>
      <c r="AI106" s="26"/>
      <c r="AJ106" s="26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</row>
    <row r="107" spans="1:158">
      <c r="A107" s="16"/>
      <c r="B107" s="13"/>
      <c r="C107" s="14"/>
      <c r="D107" s="14"/>
      <c r="E107" s="14"/>
      <c r="F107" s="14"/>
      <c r="G107" s="14"/>
      <c r="H107" s="14"/>
      <c r="I107" s="14"/>
      <c r="J107" s="14"/>
      <c r="K107" s="67"/>
      <c r="L107" s="15"/>
      <c r="M107" s="16"/>
      <c r="N107" s="16"/>
      <c r="O107" s="16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7"/>
      <c r="AC107" s="25"/>
      <c r="AD107" s="26"/>
      <c r="AE107" s="26"/>
      <c r="AF107" s="26"/>
      <c r="AG107" s="25"/>
      <c r="AH107" s="26"/>
      <c r="AI107" s="26"/>
      <c r="AJ107" s="26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  <c r="BI107" s="17"/>
      <c r="BJ107" s="17"/>
      <c r="BK107" s="17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7"/>
      <c r="EC107" s="17"/>
      <c r="ED107" s="17"/>
      <c r="EE107" s="17"/>
      <c r="EF107" s="17"/>
      <c r="EG107" s="17"/>
      <c r="EH107" s="17"/>
      <c r="EI107" s="17"/>
      <c r="EJ107" s="17"/>
      <c r="EK107" s="17"/>
      <c r="EL107" s="17"/>
      <c r="EM107" s="17"/>
      <c r="EN107" s="17"/>
      <c r="EO107" s="17"/>
      <c r="EP107" s="17"/>
      <c r="EQ107" s="17"/>
      <c r="ER107" s="17"/>
      <c r="ES107" s="17"/>
      <c r="ET107" s="17"/>
      <c r="EU107" s="17"/>
      <c r="EV107" s="17"/>
      <c r="EW107" s="17"/>
      <c r="EX107" s="17"/>
      <c r="EY107" s="17"/>
      <c r="EZ107" s="17"/>
      <c r="FA107" s="17"/>
      <c r="FB107" s="17"/>
    </row>
    <row r="108" spans="1:158">
      <c r="A108" s="16"/>
      <c r="B108" s="13"/>
      <c r="C108" s="14"/>
      <c r="D108" s="14"/>
      <c r="E108" s="14"/>
      <c r="F108" s="14"/>
      <c r="G108" s="14"/>
      <c r="H108" s="14"/>
      <c r="I108" s="14"/>
      <c r="J108" s="14"/>
      <c r="K108" s="67"/>
      <c r="L108" s="15"/>
      <c r="M108" s="16"/>
      <c r="N108" s="16"/>
      <c r="O108" s="16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7"/>
      <c r="AC108" s="25"/>
      <c r="AD108" s="26"/>
      <c r="AE108" s="26"/>
      <c r="AF108" s="26"/>
      <c r="AG108" s="25"/>
      <c r="AH108" s="26"/>
      <c r="AI108" s="26"/>
      <c r="AJ108" s="26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  <c r="BI108" s="17"/>
      <c r="BJ108" s="17"/>
      <c r="BK108" s="17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7"/>
      <c r="EC108" s="17"/>
      <c r="ED108" s="17"/>
      <c r="EE108" s="17"/>
      <c r="EF108" s="17"/>
      <c r="EG108" s="17"/>
      <c r="EH108" s="17"/>
      <c r="EI108" s="17"/>
      <c r="EJ108" s="17"/>
      <c r="EK108" s="17"/>
      <c r="EL108" s="17"/>
      <c r="EM108" s="17"/>
      <c r="EN108" s="17"/>
      <c r="EO108" s="17"/>
      <c r="EP108" s="17"/>
      <c r="EQ108" s="17"/>
      <c r="ER108" s="17"/>
      <c r="ES108" s="17"/>
      <c r="ET108" s="17"/>
      <c r="EU108" s="17"/>
      <c r="EV108" s="17"/>
      <c r="EW108" s="17"/>
      <c r="EX108" s="17"/>
      <c r="EY108" s="17"/>
      <c r="EZ108" s="17"/>
      <c r="FA108" s="17"/>
      <c r="FB108" s="17"/>
    </row>
    <row r="109" spans="1:158">
      <c r="A109" s="16"/>
      <c r="B109" s="13"/>
      <c r="C109" s="14"/>
      <c r="D109" s="14"/>
      <c r="E109" s="14"/>
      <c r="F109" s="14"/>
      <c r="G109" s="14"/>
      <c r="H109" s="14"/>
      <c r="I109" s="14"/>
      <c r="J109" s="14"/>
      <c r="K109" s="67"/>
      <c r="L109" s="15"/>
      <c r="M109" s="16"/>
      <c r="N109" s="16"/>
      <c r="O109" s="16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7"/>
      <c r="AC109" s="25"/>
      <c r="AD109" s="26"/>
      <c r="AE109" s="26"/>
      <c r="AF109" s="26"/>
      <c r="AG109" s="25"/>
      <c r="AH109" s="26"/>
      <c r="AI109" s="26"/>
      <c r="AJ109" s="26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  <c r="BI109" s="17"/>
      <c r="BJ109" s="17"/>
      <c r="BK109" s="17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  <c r="CZ109" s="17"/>
      <c r="DA109" s="17"/>
      <c r="DB109" s="17"/>
      <c r="DC109" s="17"/>
      <c r="DD109" s="17"/>
      <c r="DE109" s="17"/>
      <c r="DF109" s="17"/>
      <c r="DG109" s="17"/>
      <c r="DH109" s="17"/>
      <c r="DI109" s="17"/>
      <c r="DJ109" s="17"/>
      <c r="DK109" s="17"/>
      <c r="DL109" s="17"/>
      <c r="DM109" s="17"/>
      <c r="DN109" s="17"/>
      <c r="DO109" s="17"/>
      <c r="DP109" s="17"/>
      <c r="DQ109" s="17"/>
      <c r="DR109" s="17"/>
      <c r="DS109" s="17"/>
      <c r="DT109" s="17"/>
      <c r="DU109" s="17"/>
      <c r="DV109" s="17"/>
      <c r="DW109" s="17"/>
      <c r="DX109" s="17"/>
      <c r="DY109" s="17"/>
      <c r="DZ109" s="17"/>
      <c r="EA109" s="17"/>
      <c r="EB109" s="17"/>
      <c r="EC109" s="17"/>
      <c r="ED109" s="17"/>
      <c r="EE109" s="17"/>
      <c r="EF109" s="17"/>
      <c r="EG109" s="17"/>
      <c r="EH109" s="17"/>
      <c r="EI109" s="17"/>
      <c r="EJ109" s="17"/>
      <c r="EK109" s="17"/>
      <c r="EL109" s="17"/>
      <c r="EM109" s="17"/>
      <c r="EN109" s="17"/>
      <c r="EO109" s="17"/>
      <c r="EP109" s="17"/>
      <c r="EQ109" s="17"/>
      <c r="ER109" s="17"/>
      <c r="ES109" s="17"/>
      <c r="ET109" s="17"/>
      <c r="EU109" s="17"/>
      <c r="EV109" s="17"/>
      <c r="EW109" s="17"/>
      <c r="EX109" s="17"/>
      <c r="EY109" s="17"/>
      <c r="EZ109" s="17"/>
      <c r="FA109" s="17"/>
      <c r="FB109" s="17"/>
    </row>
    <row r="110" spans="1:158">
      <c r="A110" s="16"/>
      <c r="B110" s="13"/>
      <c r="C110" s="14"/>
      <c r="D110" s="14"/>
      <c r="E110" s="14"/>
      <c r="F110" s="14"/>
      <c r="G110" s="14"/>
      <c r="H110" s="14"/>
      <c r="I110" s="14"/>
      <c r="J110" s="14"/>
      <c r="K110" s="67"/>
      <c r="L110" s="15"/>
      <c r="M110" s="16"/>
      <c r="N110" s="16"/>
      <c r="O110" s="16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7"/>
      <c r="AC110" s="25"/>
      <c r="AD110" s="26"/>
      <c r="AE110" s="26"/>
      <c r="AF110" s="26"/>
      <c r="AG110" s="25"/>
      <c r="AH110" s="26"/>
      <c r="AI110" s="26"/>
      <c r="AJ110" s="26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  <c r="BI110" s="17"/>
      <c r="BJ110" s="17"/>
      <c r="BK110" s="17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  <c r="CZ110" s="17"/>
      <c r="DA110" s="17"/>
      <c r="DB110" s="17"/>
      <c r="DC110" s="17"/>
      <c r="DD110" s="17"/>
      <c r="DE110" s="17"/>
      <c r="DF110" s="17"/>
      <c r="DG110" s="17"/>
      <c r="DH110" s="17"/>
      <c r="DI110" s="17"/>
      <c r="DJ110" s="17"/>
      <c r="DK110" s="17"/>
      <c r="DL110" s="17"/>
      <c r="DM110" s="17"/>
      <c r="DN110" s="17"/>
      <c r="DO110" s="17"/>
      <c r="DP110" s="17"/>
      <c r="DQ110" s="17"/>
      <c r="DR110" s="17"/>
      <c r="DS110" s="17"/>
      <c r="DT110" s="17"/>
      <c r="DU110" s="17"/>
      <c r="DV110" s="17"/>
      <c r="DW110" s="17"/>
      <c r="DX110" s="17"/>
      <c r="DY110" s="17"/>
      <c r="DZ110" s="17"/>
      <c r="EA110" s="17"/>
      <c r="EB110" s="17"/>
      <c r="EC110" s="17"/>
      <c r="ED110" s="17"/>
      <c r="EE110" s="17"/>
      <c r="EF110" s="17"/>
      <c r="EG110" s="17"/>
      <c r="EH110" s="17"/>
      <c r="EI110" s="17"/>
      <c r="EJ110" s="17"/>
      <c r="EK110" s="17"/>
      <c r="EL110" s="17"/>
      <c r="EM110" s="17"/>
      <c r="EN110" s="17"/>
      <c r="EO110" s="17"/>
      <c r="EP110" s="17"/>
      <c r="EQ110" s="17"/>
      <c r="ER110" s="17"/>
      <c r="ES110" s="17"/>
      <c r="ET110" s="17"/>
      <c r="EU110" s="17"/>
      <c r="EV110" s="17"/>
      <c r="EW110" s="17"/>
      <c r="EX110" s="17"/>
      <c r="EY110" s="17"/>
      <c r="EZ110" s="17"/>
      <c r="FA110" s="17"/>
      <c r="FB110" s="17"/>
    </row>
    <row r="111" spans="1:158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70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25"/>
      <c r="AD111" s="26"/>
      <c r="AE111" s="26"/>
      <c r="AF111" s="26"/>
      <c r="AG111" s="25"/>
      <c r="AH111" s="26"/>
      <c r="AI111" s="26"/>
      <c r="AJ111" s="2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6"/>
      <c r="ER111" s="16"/>
      <c r="ES111" s="16"/>
      <c r="ET111" s="16"/>
      <c r="EU111" s="16"/>
      <c r="EV111" s="16"/>
      <c r="EW111" s="16"/>
      <c r="EX111" s="16"/>
      <c r="EY111" s="16"/>
      <c r="EZ111" s="16"/>
      <c r="FA111" s="16"/>
      <c r="FB111" s="16"/>
    </row>
    <row r="112" spans="1:158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70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25"/>
      <c r="AD112" s="26"/>
      <c r="AE112" s="26"/>
      <c r="AF112" s="26"/>
      <c r="AG112" s="25"/>
      <c r="AH112" s="26"/>
      <c r="AI112" s="26"/>
      <c r="AJ112" s="2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</row>
    <row r="113" spans="1:158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70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25"/>
      <c r="AD113" s="26"/>
      <c r="AE113" s="26"/>
      <c r="AF113" s="26"/>
      <c r="AG113" s="25"/>
      <c r="AH113" s="26"/>
      <c r="AI113" s="26"/>
      <c r="AJ113" s="2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16"/>
      <c r="EJ113" s="16"/>
      <c r="EK113" s="16"/>
      <c r="EL113" s="16"/>
      <c r="EM113" s="16"/>
      <c r="EN113" s="16"/>
      <c r="EO113" s="16"/>
      <c r="EP113" s="16"/>
      <c r="EQ113" s="16"/>
      <c r="ER113" s="16"/>
      <c r="ES113" s="16"/>
      <c r="ET113" s="16"/>
      <c r="EU113" s="16"/>
      <c r="EV113" s="16"/>
      <c r="EW113" s="16"/>
      <c r="EX113" s="16"/>
      <c r="EY113" s="16"/>
      <c r="EZ113" s="16"/>
      <c r="FA113" s="16"/>
      <c r="FB113" s="16"/>
    </row>
    <row r="114" spans="1:158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70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25"/>
      <c r="AD114" s="26"/>
      <c r="AE114" s="26"/>
      <c r="AF114" s="26"/>
      <c r="AG114" s="25"/>
      <c r="AH114" s="26"/>
      <c r="AI114" s="26"/>
      <c r="AJ114" s="2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</row>
    <row r="115" spans="1:158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70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25"/>
      <c r="AD115" s="26"/>
      <c r="AE115" s="26"/>
      <c r="AF115" s="26"/>
      <c r="AG115" s="25"/>
      <c r="AH115" s="26"/>
      <c r="AI115" s="26"/>
      <c r="AJ115" s="2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16"/>
      <c r="EJ115" s="16"/>
      <c r="EK115" s="16"/>
      <c r="EL115" s="16"/>
      <c r="EM115" s="16"/>
      <c r="EN115" s="16"/>
      <c r="EO115" s="16"/>
      <c r="EP115" s="16"/>
      <c r="EQ115" s="16"/>
      <c r="ER115" s="16"/>
      <c r="ES115" s="16"/>
      <c r="ET115" s="16"/>
      <c r="EU115" s="16"/>
      <c r="EV115" s="16"/>
      <c r="EW115" s="16"/>
      <c r="EX115" s="16"/>
      <c r="EY115" s="16"/>
      <c r="EZ115" s="16"/>
      <c r="FA115" s="16"/>
      <c r="FB115" s="16"/>
    </row>
    <row r="116" spans="1:158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70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25"/>
      <c r="AD116" s="26"/>
      <c r="AE116" s="26"/>
      <c r="AF116" s="26"/>
      <c r="AG116" s="25"/>
      <c r="AH116" s="26"/>
      <c r="AI116" s="26"/>
      <c r="AJ116" s="2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</row>
    <row r="117" spans="1:158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70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25"/>
      <c r="AD117" s="26"/>
      <c r="AE117" s="26"/>
      <c r="AF117" s="26"/>
      <c r="AG117" s="25"/>
      <c r="AH117" s="26"/>
      <c r="AI117" s="26"/>
      <c r="AJ117" s="2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</row>
    <row r="118" spans="1:158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70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25"/>
      <c r="AD118" s="26"/>
      <c r="AE118" s="26"/>
      <c r="AF118" s="26"/>
      <c r="AG118" s="25"/>
      <c r="AH118" s="26"/>
      <c r="AI118" s="26"/>
      <c r="AJ118" s="2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6"/>
      <c r="EQ118" s="16"/>
      <c r="ER118" s="16"/>
      <c r="ES118" s="16"/>
      <c r="ET118" s="16"/>
      <c r="EU118" s="16"/>
      <c r="EV118" s="16"/>
      <c r="EW118" s="16"/>
      <c r="EX118" s="16"/>
      <c r="EY118" s="16"/>
      <c r="EZ118" s="16"/>
      <c r="FA118" s="16"/>
      <c r="FB118" s="16"/>
    </row>
    <row r="119" spans="1:158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70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25"/>
      <c r="AD119" s="26"/>
      <c r="AE119" s="26"/>
      <c r="AF119" s="26"/>
      <c r="AG119" s="25"/>
      <c r="AH119" s="26"/>
      <c r="AI119" s="26"/>
      <c r="AJ119" s="2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</row>
    <row r="120" spans="1:158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70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25"/>
      <c r="AD120" s="26"/>
      <c r="AE120" s="26"/>
      <c r="AF120" s="26"/>
      <c r="AG120" s="25"/>
      <c r="AH120" s="26"/>
      <c r="AI120" s="26"/>
      <c r="AJ120" s="2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16"/>
      <c r="FA120" s="16"/>
      <c r="FB120" s="16"/>
    </row>
    <row r="121" spans="1:158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70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25"/>
      <c r="AD121" s="26"/>
      <c r="AE121" s="26"/>
      <c r="AF121" s="26"/>
      <c r="AG121" s="25"/>
      <c r="AH121" s="26"/>
      <c r="AI121" s="26"/>
      <c r="AJ121" s="2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</row>
    <row r="122" spans="1:158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70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25"/>
      <c r="AD122" s="26"/>
      <c r="AE122" s="26"/>
      <c r="AF122" s="26"/>
      <c r="AG122" s="25"/>
      <c r="AH122" s="26"/>
      <c r="AI122" s="26"/>
      <c r="AJ122" s="2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</row>
    <row r="123" spans="1:158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70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25"/>
      <c r="AD123" s="26"/>
      <c r="AE123" s="26"/>
      <c r="AF123" s="26"/>
      <c r="AG123" s="25"/>
      <c r="AH123" s="26"/>
      <c r="AI123" s="26"/>
      <c r="AJ123" s="2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</row>
    <row r="124" spans="1:158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70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25"/>
      <c r="AD124" s="26"/>
      <c r="AE124" s="26"/>
      <c r="AF124" s="26"/>
      <c r="AG124" s="25"/>
      <c r="AH124" s="26"/>
      <c r="AI124" s="26"/>
      <c r="AJ124" s="2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  <c r="EF124" s="16"/>
      <c r="EG124" s="16"/>
      <c r="EH124" s="16"/>
      <c r="EI124" s="16"/>
      <c r="EJ124" s="16"/>
      <c r="EK124" s="16"/>
      <c r="EL124" s="16"/>
      <c r="EM124" s="16"/>
      <c r="EN124" s="16"/>
      <c r="EO124" s="16"/>
      <c r="EP124" s="16"/>
      <c r="EQ124" s="16"/>
      <c r="ER124" s="16"/>
      <c r="ES124" s="16"/>
      <c r="ET124" s="16"/>
      <c r="EU124" s="16"/>
      <c r="EV124" s="16"/>
      <c r="EW124" s="16"/>
      <c r="EX124" s="16"/>
      <c r="EY124" s="16"/>
      <c r="EZ124" s="16"/>
      <c r="FA124" s="16"/>
      <c r="FB124" s="16"/>
    </row>
    <row r="125" spans="1:158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70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25"/>
      <c r="AD125" s="26"/>
      <c r="AE125" s="26"/>
      <c r="AF125" s="26"/>
      <c r="AG125" s="25"/>
      <c r="AH125" s="26"/>
      <c r="AI125" s="26"/>
      <c r="AJ125" s="2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/>
      <c r="EU125" s="16"/>
      <c r="EV125" s="16"/>
      <c r="EW125" s="16"/>
      <c r="EX125" s="16"/>
      <c r="EY125" s="16"/>
      <c r="EZ125" s="16"/>
      <c r="FA125" s="16"/>
      <c r="FB125" s="16"/>
    </row>
    <row r="126" spans="1:158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70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25"/>
      <c r="AD126" s="26"/>
      <c r="AE126" s="26"/>
      <c r="AF126" s="26"/>
      <c r="AG126" s="25"/>
      <c r="AH126" s="26"/>
      <c r="AI126" s="26"/>
      <c r="AJ126" s="2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  <c r="EF126" s="16"/>
      <c r="EG126" s="16"/>
      <c r="EH126" s="16"/>
      <c r="EI126" s="16"/>
      <c r="EJ126" s="16"/>
      <c r="EK126" s="16"/>
      <c r="EL126" s="16"/>
      <c r="EM126" s="16"/>
      <c r="EN126" s="16"/>
      <c r="EO126" s="16"/>
      <c r="EP126" s="16"/>
      <c r="EQ126" s="16"/>
      <c r="ER126" s="16"/>
      <c r="ES126" s="16"/>
      <c r="ET126" s="16"/>
      <c r="EU126" s="16"/>
      <c r="EV126" s="16"/>
      <c r="EW126" s="16"/>
      <c r="EX126" s="16"/>
      <c r="EY126" s="16"/>
      <c r="EZ126" s="16"/>
      <c r="FA126" s="16"/>
      <c r="FB126" s="16"/>
    </row>
    <row r="127" spans="1:158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70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25"/>
      <c r="AD127" s="26"/>
      <c r="AE127" s="26"/>
      <c r="AF127" s="26"/>
      <c r="AG127" s="25"/>
      <c r="AH127" s="26"/>
      <c r="AI127" s="26"/>
      <c r="AJ127" s="2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16"/>
      <c r="EV127" s="16"/>
      <c r="EW127" s="16"/>
      <c r="EX127" s="16"/>
      <c r="EY127" s="16"/>
      <c r="EZ127" s="16"/>
      <c r="FA127" s="16"/>
      <c r="FB127" s="16"/>
    </row>
    <row r="128" spans="1:158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70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25"/>
      <c r="AD128" s="26"/>
      <c r="AE128" s="26"/>
      <c r="AF128" s="26"/>
      <c r="AG128" s="25"/>
      <c r="AH128" s="26"/>
      <c r="AI128" s="26"/>
      <c r="AJ128" s="2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  <c r="EF128" s="16"/>
      <c r="EG128" s="16"/>
      <c r="EH128" s="16"/>
      <c r="EI128" s="16"/>
      <c r="EJ128" s="16"/>
      <c r="EK128" s="16"/>
      <c r="EL128" s="16"/>
      <c r="EM128" s="16"/>
      <c r="EN128" s="16"/>
      <c r="EO128" s="16"/>
      <c r="EP128" s="16"/>
      <c r="EQ128" s="16"/>
      <c r="ER128" s="16"/>
      <c r="ES128" s="16"/>
      <c r="ET128" s="16"/>
      <c r="EU128" s="16"/>
      <c r="EV128" s="16"/>
      <c r="EW128" s="16"/>
      <c r="EX128" s="16"/>
      <c r="EY128" s="16"/>
      <c r="EZ128" s="16"/>
      <c r="FA128" s="16"/>
      <c r="FB128" s="16"/>
    </row>
    <row r="129" spans="1:158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70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25"/>
      <c r="AD129" s="26"/>
      <c r="AE129" s="26"/>
      <c r="AF129" s="26"/>
      <c r="AG129" s="25"/>
      <c r="AH129" s="26"/>
      <c r="AI129" s="26"/>
      <c r="AJ129" s="2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</row>
    <row r="130" spans="1:158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70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25"/>
      <c r="AD130" s="26"/>
      <c r="AE130" s="26"/>
      <c r="AF130" s="26"/>
      <c r="AG130" s="25"/>
      <c r="AH130" s="26"/>
      <c r="AI130" s="26"/>
      <c r="AJ130" s="2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  <c r="EF130" s="16"/>
      <c r="EG130" s="16"/>
      <c r="EH130" s="16"/>
      <c r="EI130" s="16"/>
      <c r="EJ130" s="16"/>
      <c r="EK130" s="16"/>
      <c r="EL130" s="16"/>
      <c r="EM130" s="16"/>
      <c r="EN130" s="16"/>
      <c r="EO130" s="16"/>
      <c r="EP130" s="16"/>
      <c r="EQ130" s="16"/>
      <c r="ER130" s="16"/>
      <c r="ES130" s="16"/>
      <c r="ET130" s="16"/>
      <c r="EU130" s="16"/>
      <c r="EV130" s="16"/>
      <c r="EW130" s="16"/>
      <c r="EX130" s="16"/>
      <c r="EY130" s="16"/>
      <c r="EZ130" s="16"/>
      <c r="FA130" s="16"/>
      <c r="FB130" s="16"/>
    </row>
    <row r="131" spans="1:158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70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25"/>
      <c r="AD131" s="26"/>
      <c r="AE131" s="26"/>
      <c r="AF131" s="26"/>
      <c r="AG131" s="25"/>
      <c r="AH131" s="26"/>
      <c r="AI131" s="26"/>
      <c r="AJ131" s="2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/>
      <c r="EU131" s="16"/>
      <c r="EV131" s="16"/>
      <c r="EW131" s="16"/>
      <c r="EX131" s="16"/>
      <c r="EY131" s="16"/>
      <c r="EZ131" s="16"/>
      <c r="FA131" s="16"/>
      <c r="FB131" s="16"/>
    </row>
    <row r="132" spans="1:158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70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25"/>
      <c r="AD132" s="26"/>
      <c r="AE132" s="26"/>
      <c r="AF132" s="26"/>
      <c r="AG132" s="25"/>
      <c r="AH132" s="26"/>
      <c r="AI132" s="26"/>
      <c r="AJ132" s="2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  <c r="EF132" s="16"/>
      <c r="EG132" s="16"/>
      <c r="EH132" s="16"/>
      <c r="EI132" s="16"/>
      <c r="EJ132" s="16"/>
      <c r="EK132" s="16"/>
      <c r="EL132" s="16"/>
      <c r="EM132" s="16"/>
      <c r="EN132" s="16"/>
      <c r="EO132" s="16"/>
      <c r="EP132" s="16"/>
      <c r="EQ132" s="16"/>
      <c r="ER132" s="16"/>
      <c r="ES132" s="16"/>
      <c r="ET132" s="16"/>
      <c r="EU132" s="16"/>
      <c r="EV132" s="16"/>
      <c r="EW132" s="16"/>
      <c r="EX132" s="16"/>
      <c r="EY132" s="16"/>
      <c r="EZ132" s="16"/>
      <c r="FA132" s="16"/>
      <c r="FB132" s="16"/>
    </row>
    <row r="133" spans="1:158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70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25"/>
      <c r="AD133" s="26"/>
      <c r="AE133" s="26"/>
      <c r="AF133" s="26"/>
      <c r="AG133" s="25"/>
      <c r="AH133" s="26"/>
      <c r="AI133" s="26"/>
      <c r="AJ133" s="2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U133" s="16"/>
      <c r="EV133" s="16"/>
      <c r="EW133" s="16"/>
      <c r="EX133" s="16"/>
      <c r="EY133" s="16"/>
      <c r="EZ133" s="16"/>
      <c r="FA133" s="16"/>
      <c r="FB133" s="16"/>
    </row>
    <row r="134" spans="1:158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70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25"/>
      <c r="AD134" s="26"/>
      <c r="AE134" s="26"/>
      <c r="AF134" s="26"/>
      <c r="AG134" s="25"/>
      <c r="AH134" s="26"/>
      <c r="AI134" s="26"/>
      <c r="AJ134" s="2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  <c r="EF134" s="16"/>
      <c r="EG134" s="16"/>
      <c r="EH134" s="16"/>
      <c r="EI134" s="16"/>
      <c r="EJ134" s="16"/>
      <c r="EK134" s="16"/>
      <c r="EL134" s="16"/>
      <c r="EM134" s="16"/>
      <c r="EN134" s="16"/>
      <c r="EO134" s="16"/>
      <c r="EP134" s="16"/>
      <c r="EQ134" s="16"/>
      <c r="ER134" s="16"/>
      <c r="ES134" s="16"/>
      <c r="ET134" s="16"/>
      <c r="EU134" s="16"/>
      <c r="EV134" s="16"/>
      <c r="EW134" s="16"/>
      <c r="EX134" s="16"/>
      <c r="EY134" s="16"/>
      <c r="EZ134" s="16"/>
      <c r="FA134" s="16"/>
      <c r="FB134" s="16"/>
    </row>
    <row r="135" spans="1:158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70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25"/>
      <c r="AD135" s="26"/>
      <c r="AE135" s="26"/>
      <c r="AF135" s="26"/>
      <c r="AG135" s="25"/>
      <c r="AH135" s="26"/>
      <c r="AI135" s="26"/>
      <c r="AJ135" s="2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U135" s="16"/>
      <c r="EV135" s="16"/>
      <c r="EW135" s="16"/>
      <c r="EX135" s="16"/>
      <c r="EY135" s="16"/>
      <c r="EZ135" s="16"/>
      <c r="FA135" s="16"/>
      <c r="FB135" s="16"/>
    </row>
    <row r="136" spans="1:158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70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25"/>
      <c r="AD136" s="26"/>
      <c r="AE136" s="26"/>
      <c r="AF136" s="26"/>
      <c r="AG136" s="25"/>
      <c r="AH136" s="26"/>
      <c r="AI136" s="26"/>
      <c r="AJ136" s="2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  <c r="EF136" s="16"/>
      <c r="EG136" s="16"/>
      <c r="EH136" s="16"/>
      <c r="EI136" s="16"/>
      <c r="EJ136" s="16"/>
      <c r="EK136" s="16"/>
      <c r="EL136" s="16"/>
      <c r="EM136" s="16"/>
      <c r="EN136" s="16"/>
      <c r="EO136" s="16"/>
      <c r="EP136" s="16"/>
      <c r="EQ136" s="16"/>
      <c r="ER136" s="16"/>
      <c r="ES136" s="16"/>
      <c r="ET136" s="16"/>
      <c r="EU136" s="16"/>
      <c r="EV136" s="16"/>
      <c r="EW136" s="16"/>
      <c r="EX136" s="16"/>
      <c r="EY136" s="16"/>
      <c r="EZ136" s="16"/>
      <c r="FA136" s="16"/>
      <c r="FB136" s="16"/>
    </row>
    <row r="137" spans="1:158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70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25"/>
      <c r="AD137" s="26"/>
      <c r="AE137" s="26"/>
      <c r="AF137" s="26"/>
      <c r="AG137" s="25"/>
      <c r="AH137" s="26"/>
      <c r="AI137" s="26"/>
      <c r="AJ137" s="2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U137" s="16"/>
      <c r="EV137" s="16"/>
      <c r="EW137" s="16"/>
      <c r="EX137" s="16"/>
      <c r="EY137" s="16"/>
      <c r="EZ137" s="16"/>
      <c r="FA137" s="16"/>
      <c r="FB137" s="16"/>
    </row>
    <row r="138" spans="1:158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70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25"/>
      <c r="AD138" s="26"/>
      <c r="AE138" s="26"/>
      <c r="AF138" s="26"/>
      <c r="AG138" s="25"/>
      <c r="AH138" s="26"/>
      <c r="AI138" s="26"/>
      <c r="AJ138" s="2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  <c r="EF138" s="16"/>
      <c r="EG138" s="16"/>
      <c r="EH138" s="16"/>
      <c r="EI138" s="16"/>
      <c r="EJ138" s="16"/>
      <c r="EK138" s="16"/>
      <c r="EL138" s="16"/>
      <c r="EM138" s="16"/>
      <c r="EN138" s="16"/>
      <c r="EO138" s="16"/>
      <c r="EP138" s="16"/>
      <c r="EQ138" s="16"/>
      <c r="ER138" s="16"/>
      <c r="ES138" s="16"/>
      <c r="ET138" s="16"/>
      <c r="EU138" s="16"/>
      <c r="EV138" s="16"/>
      <c r="EW138" s="16"/>
      <c r="EX138" s="16"/>
      <c r="EY138" s="16"/>
      <c r="EZ138" s="16"/>
      <c r="FA138" s="16"/>
      <c r="FB138" s="16"/>
    </row>
    <row r="139" spans="1:158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70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25"/>
      <c r="AD139" s="26"/>
      <c r="AE139" s="26"/>
      <c r="AF139" s="26"/>
      <c r="AG139" s="25"/>
      <c r="AH139" s="26"/>
      <c r="AI139" s="26"/>
      <c r="AJ139" s="2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</row>
    <row r="140" spans="1:158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70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25"/>
      <c r="AD140" s="26"/>
      <c r="AE140" s="26"/>
      <c r="AF140" s="26"/>
      <c r="AG140" s="25"/>
      <c r="AH140" s="26"/>
      <c r="AI140" s="26"/>
      <c r="AJ140" s="2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  <c r="EF140" s="16"/>
      <c r="EG140" s="16"/>
      <c r="EH140" s="16"/>
      <c r="EI140" s="16"/>
      <c r="EJ140" s="16"/>
      <c r="EK140" s="16"/>
      <c r="EL140" s="16"/>
      <c r="EM140" s="16"/>
      <c r="EN140" s="16"/>
      <c r="EO140" s="16"/>
      <c r="EP140" s="16"/>
      <c r="EQ140" s="16"/>
      <c r="ER140" s="16"/>
      <c r="ES140" s="16"/>
      <c r="ET140" s="16"/>
      <c r="EU140" s="16"/>
      <c r="EV140" s="16"/>
      <c r="EW140" s="16"/>
      <c r="EX140" s="16"/>
      <c r="EY140" s="16"/>
      <c r="EZ140" s="16"/>
      <c r="FA140" s="16"/>
      <c r="FB140" s="16"/>
    </row>
    <row r="141" spans="1:158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70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25"/>
      <c r="AD141" s="26"/>
      <c r="AE141" s="26"/>
      <c r="AF141" s="26"/>
      <c r="AG141" s="25"/>
      <c r="AH141" s="26"/>
      <c r="AI141" s="26"/>
      <c r="AJ141" s="2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U141" s="16"/>
      <c r="EV141" s="16"/>
      <c r="EW141" s="16"/>
      <c r="EX141" s="16"/>
      <c r="EY141" s="16"/>
      <c r="EZ141" s="16"/>
      <c r="FA141" s="16"/>
      <c r="FB141" s="16"/>
    </row>
    <row r="142" spans="1:158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70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25"/>
      <c r="AD142" s="26"/>
      <c r="AE142" s="26"/>
      <c r="AF142" s="26"/>
      <c r="AG142" s="25"/>
      <c r="AH142" s="26"/>
      <c r="AI142" s="26"/>
      <c r="AJ142" s="2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  <c r="EF142" s="16"/>
      <c r="EG142" s="16"/>
      <c r="EH142" s="16"/>
      <c r="EI142" s="16"/>
      <c r="EJ142" s="16"/>
      <c r="EK142" s="16"/>
      <c r="EL142" s="16"/>
      <c r="EM142" s="16"/>
      <c r="EN142" s="16"/>
      <c r="EO142" s="16"/>
      <c r="EP142" s="16"/>
      <c r="EQ142" s="16"/>
      <c r="ER142" s="16"/>
      <c r="ES142" s="16"/>
      <c r="ET142" s="16"/>
      <c r="EU142" s="16"/>
      <c r="EV142" s="16"/>
      <c r="EW142" s="16"/>
      <c r="EX142" s="16"/>
      <c r="EY142" s="16"/>
      <c r="EZ142" s="16"/>
      <c r="FA142" s="16"/>
      <c r="FB142" s="16"/>
    </row>
    <row r="143" spans="1:158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70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25"/>
      <c r="AD143" s="26"/>
      <c r="AE143" s="26"/>
      <c r="AF143" s="26"/>
      <c r="AG143" s="25"/>
      <c r="AH143" s="26"/>
      <c r="AI143" s="26"/>
      <c r="AJ143" s="2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U143" s="16"/>
      <c r="EV143" s="16"/>
      <c r="EW143" s="16"/>
      <c r="EX143" s="16"/>
      <c r="EY143" s="16"/>
      <c r="EZ143" s="16"/>
      <c r="FA143" s="16"/>
      <c r="FB143" s="16"/>
    </row>
    <row r="144" spans="1:158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70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25"/>
      <c r="AD144" s="26"/>
      <c r="AE144" s="26"/>
      <c r="AF144" s="26"/>
      <c r="AG144" s="25"/>
      <c r="AH144" s="26"/>
      <c r="AI144" s="26"/>
      <c r="AJ144" s="2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  <c r="EF144" s="16"/>
      <c r="EG144" s="16"/>
      <c r="EH144" s="16"/>
      <c r="EI144" s="16"/>
      <c r="EJ144" s="16"/>
      <c r="EK144" s="16"/>
      <c r="EL144" s="16"/>
      <c r="EM144" s="16"/>
      <c r="EN144" s="16"/>
      <c r="EO144" s="16"/>
      <c r="EP144" s="16"/>
      <c r="EQ144" s="16"/>
      <c r="ER144" s="16"/>
      <c r="ES144" s="16"/>
      <c r="ET144" s="16"/>
      <c r="EU144" s="16"/>
      <c r="EV144" s="16"/>
      <c r="EW144" s="16"/>
      <c r="EX144" s="16"/>
      <c r="EY144" s="16"/>
      <c r="EZ144" s="16"/>
      <c r="FA144" s="16"/>
      <c r="FB144" s="16"/>
    </row>
    <row r="145" spans="1:158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70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25"/>
      <c r="AD145" s="26"/>
      <c r="AE145" s="26"/>
      <c r="AF145" s="26"/>
      <c r="AG145" s="25"/>
      <c r="AH145" s="26"/>
      <c r="AI145" s="26"/>
      <c r="AJ145" s="2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U145" s="16"/>
      <c r="EV145" s="16"/>
      <c r="EW145" s="16"/>
      <c r="EX145" s="16"/>
      <c r="EY145" s="16"/>
      <c r="EZ145" s="16"/>
      <c r="FA145" s="16"/>
      <c r="FB145" s="16"/>
    </row>
    <row r="146" spans="1:158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70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25"/>
      <c r="AD146" s="26"/>
      <c r="AE146" s="26"/>
      <c r="AF146" s="26"/>
      <c r="AG146" s="25"/>
      <c r="AH146" s="26"/>
      <c r="AI146" s="26"/>
      <c r="AJ146" s="2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  <c r="EF146" s="16"/>
      <c r="EG146" s="16"/>
      <c r="EH146" s="16"/>
      <c r="EI146" s="16"/>
      <c r="EJ146" s="16"/>
      <c r="EK146" s="16"/>
      <c r="EL146" s="16"/>
      <c r="EM146" s="16"/>
      <c r="EN146" s="16"/>
      <c r="EO146" s="16"/>
      <c r="EP146" s="16"/>
      <c r="EQ146" s="16"/>
      <c r="ER146" s="16"/>
      <c r="ES146" s="16"/>
      <c r="ET146" s="16"/>
      <c r="EU146" s="16"/>
      <c r="EV146" s="16"/>
      <c r="EW146" s="16"/>
      <c r="EX146" s="16"/>
      <c r="EY146" s="16"/>
      <c r="EZ146" s="16"/>
      <c r="FA146" s="16"/>
      <c r="FB146" s="16"/>
    </row>
    <row r="147" spans="1:158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70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25"/>
      <c r="AD147" s="26"/>
      <c r="AE147" s="26"/>
      <c r="AF147" s="26"/>
      <c r="AG147" s="25"/>
      <c r="AH147" s="26"/>
      <c r="AI147" s="26"/>
      <c r="AJ147" s="2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U147" s="16"/>
      <c r="EV147" s="16"/>
      <c r="EW147" s="16"/>
      <c r="EX147" s="16"/>
      <c r="EY147" s="16"/>
      <c r="EZ147" s="16"/>
      <c r="FA147" s="16"/>
      <c r="FB147" s="16"/>
    </row>
    <row r="148" spans="1:158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70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25"/>
      <c r="AD148" s="26"/>
      <c r="AE148" s="26"/>
      <c r="AF148" s="26"/>
      <c r="AG148" s="25"/>
      <c r="AH148" s="26"/>
      <c r="AI148" s="26"/>
      <c r="AJ148" s="2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  <c r="EF148" s="16"/>
      <c r="EG148" s="16"/>
      <c r="EH148" s="16"/>
      <c r="EI148" s="16"/>
      <c r="EJ148" s="16"/>
      <c r="EK148" s="16"/>
      <c r="EL148" s="16"/>
      <c r="EM148" s="16"/>
      <c r="EN148" s="16"/>
      <c r="EO148" s="16"/>
      <c r="EP148" s="16"/>
      <c r="EQ148" s="16"/>
      <c r="ER148" s="16"/>
      <c r="ES148" s="16"/>
      <c r="ET148" s="16"/>
      <c r="EU148" s="16"/>
      <c r="EV148" s="16"/>
      <c r="EW148" s="16"/>
      <c r="EX148" s="16"/>
      <c r="EY148" s="16"/>
      <c r="EZ148" s="16"/>
      <c r="FA148" s="16"/>
      <c r="FB148" s="16"/>
    </row>
    <row r="149" spans="1:158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70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25"/>
      <c r="AD149" s="26"/>
      <c r="AE149" s="26"/>
      <c r="AF149" s="26"/>
      <c r="AG149" s="25"/>
      <c r="AH149" s="26"/>
      <c r="AI149" s="26"/>
      <c r="AJ149" s="2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16"/>
      <c r="EJ149" s="16"/>
      <c r="EK149" s="16"/>
      <c r="EL149" s="16"/>
      <c r="EM149" s="16"/>
      <c r="EN149" s="16"/>
      <c r="EO149" s="16"/>
      <c r="EP149" s="16"/>
      <c r="EQ149" s="16"/>
      <c r="ER149" s="16"/>
      <c r="ES149" s="16"/>
      <c r="ET149" s="16"/>
      <c r="EU149" s="16"/>
      <c r="EV149" s="16"/>
      <c r="EW149" s="16"/>
      <c r="EX149" s="16"/>
      <c r="EY149" s="16"/>
      <c r="EZ149" s="16"/>
      <c r="FA149" s="16"/>
      <c r="FB149" s="16"/>
    </row>
    <row r="150" spans="1:158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70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25"/>
      <c r="AD150" s="26"/>
      <c r="AE150" s="26"/>
      <c r="AF150" s="26"/>
      <c r="AG150" s="25"/>
      <c r="AH150" s="26"/>
      <c r="AI150" s="26"/>
      <c r="AJ150" s="2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  <c r="EF150" s="16"/>
      <c r="EG150" s="16"/>
      <c r="EH150" s="16"/>
      <c r="EI150" s="16"/>
      <c r="EJ150" s="16"/>
      <c r="EK150" s="16"/>
      <c r="EL150" s="16"/>
      <c r="EM150" s="16"/>
      <c r="EN150" s="16"/>
      <c r="EO150" s="16"/>
      <c r="EP150" s="16"/>
      <c r="EQ150" s="16"/>
      <c r="ER150" s="16"/>
      <c r="ES150" s="16"/>
      <c r="ET150" s="16"/>
      <c r="EU150" s="16"/>
      <c r="EV150" s="16"/>
      <c r="EW150" s="16"/>
      <c r="EX150" s="16"/>
      <c r="EY150" s="16"/>
      <c r="EZ150" s="16"/>
      <c r="FA150" s="16"/>
      <c r="FB150" s="16"/>
    </row>
    <row r="151" spans="1:158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70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25"/>
      <c r="AD151" s="26"/>
      <c r="AE151" s="26"/>
      <c r="AF151" s="26"/>
      <c r="AG151" s="25"/>
      <c r="AH151" s="26"/>
      <c r="AI151" s="26"/>
      <c r="AJ151" s="2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  <c r="EF151" s="16"/>
      <c r="EG151" s="16"/>
      <c r="EH151" s="16"/>
      <c r="EI151" s="16"/>
      <c r="EJ151" s="16"/>
      <c r="EK151" s="16"/>
      <c r="EL151" s="16"/>
      <c r="EM151" s="16"/>
      <c r="EN151" s="16"/>
      <c r="EO151" s="16"/>
      <c r="EP151" s="16"/>
      <c r="EQ151" s="16"/>
      <c r="ER151" s="16"/>
      <c r="ES151" s="16"/>
      <c r="ET151" s="16"/>
      <c r="EU151" s="16"/>
      <c r="EV151" s="16"/>
      <c r="EW151" s="16"/>
      <c r="EX151" s="16"/>
      <c r="EY151" s="16"/>
      <c r="EZ151" s="16"/>
      <c r="FA151" s="16"/>
      <c r="FB151" s="16"/>
    </row>
    <row r="152" spans="1:158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70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25"/>
      <c r="AD152" s="26"/>
      <c r="AE152" s="26"/>
      <c r="AF152" s="26"/>
      <c r="AG152" s="25"/>
      <c r="AH152" s="26"/>
      <c r="AI152" s="26"/>
      <c r="AJ152" s="2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  <c r="EF152" s="16"/>
      <c r="EG152" s="16"/>
      <c r="EH152" s="16"/>
      <c r="EI152" s="16"/>
      <c r="EJ152" s="16"/>
      <c r="EK152" s="16"/>
      <c r="EL152" s="16"/>
      <c r="EM152" s="16"/>
      <c r="EN152" s="16"/>
      <c r="EO152" s="16"/>
      <c r="EP152" s="16"/>
      <c r="EQ152" s="16"/>
      <c r="ER152" s="16"/>
      <c r="ES152" s="16"/>
      <c r="ET152" s="16"/>
      <c r="EU152" s="16"/>
      <c r="EV152" s="16"/>
      <c r="EW152" s="16"/>
      <c r="EX152" s="16"/>
      <c r="EY152" s="16"/>
      <c r="EZ152" s="16"/>
      <c r="FA152" s="16"/>
      <c r="FB152" s="16"/>
    </row>
    <row r="153" spans="1:158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70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25"/>
      <c r="AD153" s="26"/>
      <c r="AE153" s="26"/>
      <c r="AF153" s="26"/>
      <c r="AG153" s="25"/>
      <c r="AH153" s="26"/>
      <c r="AI153" s="26"/>
      <c r="AJ153" s="2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  <c r="EF153" s="16"/>
      <c r="EG153" s="16"/>
      <c r="EH153" s="16"/>
      <c r="EI153" s="16"/>
      <c r="EJ153" s="16"/>
      <c r="EK153" s="16"/>
      <c r="EL153" s="16"/>
      <c r="EM153" s="16"/>
      <c r="EN153" s="16"/>
      <c r="EO153" s="16"/>
      <c r="EP153" s="16"/>
      <c r="EQ153" s="16"/>
      <c r="ER153" s="16"/>
      <c r="ES153" s="16"/>
      <c r="ET153" s="16"/>
      <c r="EU153" s="16"/>
      <c r="EV153" s="16"/>
      <c r="EW153" s="16"/>
      <c r="EX153" s="16"/>
      <c r="EY153" s="16"/>
      <c r="EZ153" s="16"/>
      <c r="FA153" s="16"/>
      <c r="FB153" s="16"/>
    </row>
    <row r="154" spans="1:158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70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25"/>
      <c r="AD154" s="26"/>
      <c r="AE154" s="26"/>
      <c r="AF154" s="26"/>
      <c r="AG154" s="25"/>
      <c r="AH154" s="26"/>
      <c r="AI154" s="26"/>
      <c r="AJ154" s="2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  <c r="ET154" s="16"/>
      <c r="EU154" s="16"/>
      <c r="EV154" s="16"/>
      <c r="EW154" s="16"/>
      <c r="EX154" s="16"/>
      <c r="EY154" s="16"/>
      <c r="EZ154" s="16"/>
      <c r="FA154" s="16"/>
      <c r="FB154" s="16"/>
    </row>
    <row r="155" spans="1:158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70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25"/>
      <c r="AD155" s="26"/>
      <c r="AE155" s="26"/>
      <c r="AF155" s="26"/>
      <c r="AG155" s="25"/>
      <c r="AH155" s="26"/>
      <c r="AI155" s="26"/>
      <c r="AJ155" s="2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  <c r="EF155" s="16"/>
      <c r="EG155" s="16"/>
      <c r="EH155" s="16"/>
      <c r="EI155" s="16"/>
      <c r="EJ155" s="16"/>
      <c r="EK155" s="16"/>
      <c r="EL155" s="16"/>
      <c r="EM155" s="16"/>
      <c r="EN155" s="16"/>
      <c r="EO155" s="16"/>
      <c r="EP155" s="16"/>
      <c r="EQ155" s="16"/>
      <c r="ER155" s="16"/>
      <c r="ES155" s="16"/>
      <c r="ET155" s="16"/>
      <c r="EU155" s="16"/>
      <c r="EV155" s="16"/>
      <c r="EW155" s="16"/>
      <c r="EX155" s="16"/>
      <c r="EY155" s="16"/>
      <c r="EZ155" s="16"/>
      <c r="FA155" s="16"/>
      <c r="FB155" s="16"/>
    </row>
    <row r="156" spans="1:158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70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25"/>
      <c r="AD156" s="26"/>
      <c r="AE156" s="26"/>
      <c r="AF156" s="26"/>
      <c r="AG156" s="25"/>
      <c r="AH156" s="26"/>
      <c r="AI156" s="26"/>
      <c r="AJ156" s="2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16"/>
      <c r="EU156" s="16"/>
      <c r="EV156" s="16"/>
      <c r="EW156" s="16"/>
      <c r="EX156" s="16"/>
      <c r="EY156" s="16"/>
      <c r="EZ156" s="16"/>
      <c r="FA156" s="16"/>
      <c r="FB156" s="16"/>
    </row>
    <row r="157" spans="1:158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70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25"/>
      <c r="AD157" s="26"/>
      <c r="AE157" s="26"/>
      <c r="AF157" s="26"/>
      <c r="AG157" s="25"/>
      <c r="AH157" s="26"/>
      <c r="AI157" s="26"/>
      <c r="AJ157" s="2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  <c r="EF157" s="16"/>
      <c r="EG157" s="16"/>
      <c r="EH157" s="16"/>
      <c r="EI157" s="16"/>
      <c r="EJ157" s="16"/>
      <c r="EK157" s="16"/>
      <c r="EL157" s="16"/>
      <c r="EM157" s="16"/>
      <c r="EN157" s="16"/>
      <c r="EO157" s="16"/>
      <c r="EP157" s="16"/>
      <c r="EQ157" s="16"/>
      <c r="ER157" s="16"/>
      <c r="ES157" s="16"/>
      <c r="ET157" s="16"/>
      <c r="EU157" s="16"/>
      <c r="EV157" s="16"/>
      <c r="EW157" s="16"/>
      <c r="EX157" s="16"/>
      <c r="EY157" s="16"/>
      <c r="EZ157" s="16"/>
      <c r="FA157" s="16"/>
      <c r="FB157" s="16"/>
    </row>
    <row r="158" spans="1:158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70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25"/>
      <c r="AD158" s="26"/>
      <c r="AE158" s="26"/>
      <c r="AF158" s="26"/>
      <c r="AG158" s="25"/>
      <c r="AH158" s="26"/>
      <c r="AI158" s="26"/>
      <c r="AJ158" s="2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16"/>
      <c r="EJ158" s="16"/>
      <c r="EK158" s="16"/>
      <c r="EL158" s="16"/>
      <c r="EM158" s="16"/>
      <c r="EN158" s="16"/>
      <c r="EO158" s="16"/>
      <c r="EP158" s="16"/>
      <c r="EQ158" s="16"/>
      <c r="ER158" s="16"/>
      <c r="ES158" s="16"/>
      <c r="ET158" s="16"/>
      <c r="EU158" s="16"/>
      <c r="EV158" s="16"/>
      <c r="EW158" s="16"/>
      <c r="EX158" s="16"/>
      <c r="EY158" s="16"/>
      <c r="EZ158" s="16"/>
      <c r="FA158" s="16"/>
      <c r="FB158" s="16"/>
    </row>
    <row r="159" spans="1:158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70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25"/>
      <c r="AD159" s="26"/>
      <c r="AE159" s="26"/>
      <c r="AF159" s="26"/>
      <c r="AG159" s="25"/>
      <c r="AH159" s="26"/>
      <c r="AI159" s="26"/>
      <c r="AJ159" s="2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  <c r="EF159" s="16"/>
      <c r="EG159" s="16"/>
      <c r="EH159" s="16"/>
      <c r="EI159" s="16"/>
      <c r="EJ159" s="16"/>
      <c r="EK159" s="16"/>
      <c r="EL159" s="16"/>
      <c r="EM159" s="16"/>
      <c r="EN159" s="16"/>
      <c r="EO159" s="16"/>
      <c r="EP159" s="16"/>
      <c r="EQ159" s="16"/>
      <c r="ER159" s="16"/>
      <c r="ES159" s="16"/>
      <c r="ET159" s="16"/>
      <c r="EU159" s="16"/>
      <c r="EV159" s="16"/>
      <c r="EW159" s="16"/>
      <c r="EX159" s="16"/>
      <c r="EY159" s="16"/>
      <c r="EZ159" s="16"/>
      <c r="FA159" s="16"/>
      <c r="FB159" s="16"/>
    </row>
    <row r="160" spans="1:158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70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25"/>
      <c r="AD160" s="26"/>
      <c r="AE160" s="26"/>
      <c r="AF160" s="26"/>
      <c r="AG160" s="25"/>
      <c r="AH160" s="26"/>
      <c r="AI160" s="26"/>
      <c r="AJ160" s="2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U160" s="16"/>
      <c r="EV160" s="16"/>
      <c r="EW160" s="16"/>
      <c r="EX160" s="16"/>
      <c r="EY160" s="16"/>
      <c r="EZ160" s="16"/>
      <c r="FA160" s="16"/>
      <c r="FB160" s="16"/>
    </row>
    <row r="161" spans="1:158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70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25"/>
      <c r="AD161" s="26"/>
      <c r="AE161" s="26"/>
      <c r="AF161" s="26"/>
      <c r="AG161" s="25"/>
      <c r="AH161" s="26"/>
      <c r="AI161" s="26"/>
      <c r="AJ161" s="2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  <c r="EF161" s="16"/>
      <c r="EG161" s="16"/>
      <c r="EH161" s="16"/>
      <c r="EI161" s="16"/>
      <c r="EJ161" s="16"/>
      <c r="EK161" s="16"/>
      <c r="EL161" s="16"/>
      <c r="EM161" s="16"/>
      <c r="EN161" s="16"/>
      <c r="EO161" s="16"/>
      <c r="EP161" s="16"/>
      <c r="EQ161" s="16"/>
      <c r="ER161" s="16"/>
      <c r="ES161" s="16"/>
      <c r="ET161" s="16"/>
      <c r="EU161" s="16"/>
      <c r="EV161" s="16"/>
      <c r="EW161" s="16"/>
      <c r="EX161" s="16"/>
      <c r="EY161" s="16"/>
      <c r="EZ161" s="16"/>
      <c r="FA161" s="16"/>
      <c r="FB161" s="16"/>
    </row>
    <row r="162" spans="1:158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70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25"/>
      <c r="AD162" s="26"/>
      <c r="AE162" s="26"/>
      <c r="AF162" s="26"/>
      <c r="AG162" s="25"/>
      <c r="AH162" s="26"/>
      <c r="AI162" s="26"/>
      <c r="AJ162" s="2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6"/>
      <c r="EQ162" s="16"/>
      <c r="ER162" s="16"/>
      <c r="ES162" s="16"/>
      <c r="ET162" s="16"/>
      <c r="EU162" s="16"/>
      <c r="EV162" s="16"/>
      <c r="EW162" s="16"/>
      <c r="EX162" s="16"/>
      <c r="EY162" s="16"/>
      <c r="EZ162" s="16"/>
      <c r="FA162" s="16"/>
      <c r="FB162" s="16"/>
    </row>
    <row r="163" spans="1:158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70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25"/>
      <c r="AD163" s="26"/>
      <c r="AE163" s="26"/>
      <c r="AF163" s="26"/>
      <c r="AG163" s="25"/>
      <c r="AH163" s="26"/>
      <c r="AI163" s="26"/>
      <c r="AJ163" s="2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  <c r="EF163" s="16"/>
      <c r="EG163" s="16"/>
      <c r="EH163" s="16"/>
      <c r="EI163" s="16"/>
      <c r="EJ163" s="16"/>
      <c r="EK163" s="16"/>
      <c r="EL163" s="16"/>
      <c r="EM163" s="16"/>
      <c r="EN163" s="16"/>
      <c r="EO163" s="16"/>
      <c r="EP163" s="16"/>
      <c r="EQ163" s="16"/>
      <c r="ER163" s="16"/>
      <c r="ES163" s="16"/>
      <c r="ET163" s="16"/>
      <c r="EU163" s="16"/>
      <c r="EV163" s="16"/>
      <c r="EW163" s="16"/>
      <c r="EX163" s="16"/>
      <c r="EY163" s="16"/>
      <c r="EZ163" s="16"/>
      <c r="FA163" s="16"/>
      <c r="FB163" s="16"/>
    </row>
    <row r="164" spans="1:158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70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25"/>
      <c r="AD164" s="26"/>
      <c r="AE164" s="26"/>
      <c r="AF164" s="26"/>
      <c r="AG164" s="25"/>
      <c r="AH164" s="26"/>
      <c r="AI164" s="26"/>
      <c r="AJ164" s="2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6"/>
      <c r="EQ164" s="16"/>
      <c r="ER164" s="16"/>
      <c r="ES164" s="16"/>
      <c r="ET164" s="16"/>
      <c r="EU164" s="16"/>
      <c r="EV164" s="16"/>
      <c r="EW164" s="16"/>
      <c r="EX164" s="16"/>
      <c r="EY164" s="16"/>
      <c r="EZ164" s="16"/>
      <c r="FA164" s="16"/>
      <c r="FB164" s="16"/>
    </row>
    <row r="165" spans="1:158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70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25"/>
      <c r="AD165" s="26"/>
      <c r="AE165" s="26"/>
      <c r="AF165" s="26"/>
      <c r="AG165" s="25"/>
      <c r="AH165" s="26"/>
      <c r="AI165" s="26"/>
      <c r="AJ165" s="2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U165" s="16"/>
      <c r="EV165" s="16"/>
      <c r="EW165" s="16"/>
      <c r="EX165" s="16"/>
      <c r="EY165" s="16"/>
      <c r="EZ165" s="16"/>
      <c r="FA165" s="16"/>
      <c r="FB165" s="16"/>
    </row>
    <row r="166" spans="1:158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70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25"/>
      <c r="AD166" s="26"/>
      <c r="AE166" s="26"/>
      <c r="AF166" s="26"/>
      <c r="AG166" s="25"/>
      <c r="AH166" s="26"/>
      <c r="AI166" s="26"/>
      <c r="AJ166" s="2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  <c r="EF166" s="16"/>
      <c r="EG166" s="16"/>
      <c r="EH166" s="16"/>
      <c r="EI166" s="16"/>
      <c r="EJ166" s="16"/>
      <c r="EK166" s="16"/>
      <c r="EL166" s="16"/>
      <c r="EM166" s="16"/>
      <c r="EN166" s="16"/>
      <c r="EO166" s="16"/>
      <c r="EP166" s="16"/>
      <c r="EQ166" s="16"/>
      <c r="ER166" s="16"/>
      <c r="ES166" s="16"/>
      <c r="ET166" s="16"/>
      <c r="EU166" s="16"/>
      <c r="EV166" s="16"/>
      <c r="EW166" s="16"/>
      <c r="EX166" s="16"/>
      <c r="EY166" s="16"/>
      <c r="EZ166" s="16"/>
      <c r="FA166" s="16"/>
      <c r="FB166" s="16"/>
    </row>
    <row r="167" spans="1:158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70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25"/>
      <c r="AD167" s="26"/>
      <c r="AE167" s="26"/>
      <c r="AF167" s="26"/>
      <c r="AG167" s="25"/>
      <c r="AH167" s="26"/>
      <c r="AI167" s="26"/>
      <c r="AJ167" s="2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U167" s="16"/>
      <c r="EV167" s="16"/>
      <c r="EW167" s="16"/>
      <c r="EX167" s="16"/>
      <c r="EY167" s="16"/>
      <c r="EZ167" s="16"/>
      <c r="FA167" s="16"/>
      <c r="FB167" s="16"/>
    </row>
    <row r="168" spans="1:158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70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25"/>
      <c r="AD168" s="26"/>
      <c r="AE168" s="26"/>
      <c r="AF168" s="26"/>
      <c r="AG168" s="25"/>
      <c r="AH168" s="26"/>
      <c r="AI168" s="26"/>
      <c r="AJ168" s="2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  <c r="EF168" s="16"/>
      <c r="EG168" s="16"/>
      <c r="EH168" s="16"/>
      <c r="EI168" s="16"/>
      <c r="EJ168" s="16"/>
      <c r="EK168" s="16"/>
      <c r="EL168" s="16"/>
      <c r="EM168" s="16"/>
      <c r="EN168" s="16"/>
      <c r="EO168" s="16"/>
      <c r="EP168" s="16"/>
      <c r="EQ168" s="16"/>
      <c r="ER168" s="16"/>
      <c r="ES168" s="16"/>
      <c r="ET168" s="16"/>
      <c r="EU168" s="16"/>
      <c r="EV168" s="16"/>
      <c r="EW168" s="16"/>
      <c r="EX168" s="16"/>
      <c r="EY168" s="16"/>
      <c r="EZ168" s="16"/>
      <c r="FA168" s="16"/>
      <c r="FB168" s="16"/>
    </row>
    <row r="169" spans="1:158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70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25"/>
      <c r="AD169" s="26"/>
      <c r="AE169" s="26"/>
      <c r="AF169" s="26"/>
      <c r="AG169" s="25"/>
      <c r="AH169" s="26"/>
      <c r="AI169" s="26"/>
      <c r="AJ169" s="2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  <c r="EF169" s="16"/>
      <c r="EG169" s="16"/>
      <c r="EH169" s="16"/>
      <c r="EI169" s="16"/>
      <c r="EJ169" s="16"/>
      <c r="EK169" s="16"/>
      <c r="EL169" s="16"/>
      <c r="EM169" s="16"/>
      <c r="EN169" s="16"/>
      <c r="EO169" s="16"/>
      <c r="EP169" s="16"/>
      <c r="EQ169" s="16"/>
      <c r="ER169" s="16"/>
      <c r="ES169" s="16"/>
      <c r="ET169" s="16"/>
      <c r="EU169" s="16"/>
      <c r="EV169" s="16"/>
      <c r="EW169" s="16"/>
      <c r="EX169" s="16"/>
      <c r="EY169" s="16"/>
      <c r="EZ169" s="16"/>
      <c r="FA169" s="16"/>
      <c r="FB169" s="16"/>
    </row>
    <row r="170" spans="1:158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70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25"/>
      <c r="AD170" s="26"/>
      <c r="AE170" s="26"/>
      <c r="AF170" s="26"/>
      <c r="AG170" s="25"/>
      <c r="AH170" s="26"/>
      <c r="AI170" s="26"/>
      <c r="AJ170" s="2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  <c r="EF170" s="16"/>
      <c r="EG170" s="16"/>
      <c r="EH170" s="16"/>
      <c r="EI170" s="16"/>
      <c r="EJ170" s="16"/>
      <c r="EK170" s="16"/>
      <c r="EL170" s="16"/>
      <c r="EM170" s="16"/>
      <c r="EN170" s="16"/>
      <c r="EO170" s="16"/>
      <c r="EP170" s="16"/>
      <c r="EQ170" s="16"/>
      <c r="ER170" s="16"/>
      <c r="ES170" s="16"/>
      <c r="ET170" s="16"/>
      <c r="EU170" s="16"/>
      <c r="EV170" s="16"/>
      <c r="EW170" s="16"/>
      <c r="EX170" s="16"/>
      <c r="EY170" s="16"/>
      <c r="EZ170" s="16"/>
      <c r="FA170" s="16"/>
      <c r="FB170" s="16"/>
    </row>
    <row r="171" spans="1:158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70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25"/>
      <c r="AD171" s="26"/>
      <c r="AE171" s="26"/>
      <c r="AF171" s="26"/>
      <c r="AG171" s="25"/>
      <c r="AH171" s="26"/>
      <c r="AI171" s="26"/>
      <c r="AJ171" s="2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  <c r="ET171" s="16"/>
      <c r="EU171" s="16"/>
      <c r="EV171" s="16"/>
      <c r="EW171" s="16"/>
      <c r="EX171" s="16"/>
      <c r="EY171" s="16"/>
      <c r="EZ171" s="16"/>
      <c r="FA171" s="16"/>
      <c r="FB171" s="16"/>
    </row>
    <row r="172" spans="1:158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70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25"/>
      <c r="AD172" s="26"/>
      <c r="AE172" s="26"/>
      <c r="AF172" s="26"/>
      <c r="AG172" s="25"/>
      <c r="AH172" s="26"/>
      <c r="AI172" s="26"/>
      <c r="AJ172" s="2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6"/>
      <c r="EQ172" s="16"/>
      <c r="ER172" s="16"/>
      <c r="ES172" s="16"/>
      <c r="ET172" s="16"/>
      <c r="EU172" s="16"/>
      <c r="EV172" s="16"/>
      <c r="EW172" s="16"/>
      <c r="EX172" s="16"/>
      <c r="EY172" s="16"/>
      <c r="EZ172" s="16"/>
      <c r="FA172" s="16"/>
      <c r="FB172" s="16"/>
    </row>
    <row r="173" spans="1:158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70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25"/>
      <c r="AD173" s="26"/>
      <c r="AE173" s="26"/>
      <c r="AF173" s="26"/>
      <c r="AG173" s="25"/>
      <c r="AH173" s="26"/>
      <c r="AI173" s="26"/>
      <c r="AJ173" s="2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  <c r="EF173" s="16"/>
      <c r="EG173" s="16"/>
      <c r="EH173" s="16"/>
      <c r="EI173" s="16"/>
      <c r="EJ173" s="16"/>
      <c r="EK173" s="16"/>
      <c r="EL173" s="16"/>
      <c r="EM173" s="16"/>
      <c r="EN173" s="16"/>
      <c r="EO173" s="16"/>
      <c r="EP173" s="16"/>
      <c r="EQ173" s="16"/>
      <c r="ER173" s="16"/>
      <c r="ES173" s="16"/>
      <c r="ET173" s="16"/>
      <c r="EU173" s="16"/>
      <c r="EV173" s="16"/>
      <c r="EW173" s="16"/>
      <c r="EX173" s="16"/>
      <c r="EY173" s="16"/>
      <c r="EZ173" s="16"/>
      <c r="FA173" s="16"/>
      <c r="FB173" s="16"/>
    </row>
    <row r="174" spans="1:158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70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25"/>
      <c r="AD174" s="26"/>
      <c r="AE174" s="26"/>
      <c r="AF174" s="26"/>
      <c r="AG174" s="25"/>
      <c r="AH174" s="26"/>
      <c r="AI174" s="26"/>
      <c r="AJ174" s="2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  <c r="EF174" s="16"/>
      <c r="EG174" s="16"/>
      <c r="EH174" s="16"/>
      <c r="EI174" s="16"/>
      <c r="EJ174" s="16"/>
      <c r="EK174" s="16"/>
      <c r="EL174" s="16"/>
      <c r="EM174" s="16"/>
      <c r="EN174" s="16"/>
      <c r="EO174" s="16"/>
      <c r="EP174" s="16"/>
      <c r="EQ174" s="16"/>
      <c r="ER174" s="16"/>
      <c r="ES174" s="16"/>
      <c r="ET174" s="16"/>
      <c r="EU174" s="16"/>
      <c r="EV174" s="16"/>
      <c r="EW174" s="16"/>
      <c r="EX174" s="16"/>
      <c r="EY174" s="16"/>
      <c r="EZ174" s="16"/>
      <c r="FA174" s="16"/>
      <c r="FB174" s="16"/>
    </row>
    <row r="175" spans="1:158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70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25"/>
      <c r="AD175" s="26"/>
      <c r="AE175" s="26"/>
      <c r="AF175" s="26"/>
      <c r="AG175" s="25"/>
      <c r="AH175" s="26"/>
      <c r="AI175" s="26"/>
      <c r="AJ175" s="2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  <c r="ET175" s="16"/>
      <c r="EU175" s="16"/>
      <c r="EV175" s="16"/>
      <c r="EW175" s="16"/>
      <c r="EX175" s="16"/>
      <c r="EY175" s="16"/>
      <c r="EZ175" s="16"/>
      <c r="FA175" s="16"/>
      <c r="FB175" s="16"/>
    </row>
    <row r="176" spans="1:158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70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25"/>
      <c r="AD176" s="26"/>
      <c r="AE176" s="26"/>
      <c r="AF176" s="26"/>
      <c r="AG176" s="25"/>
      <c r="AH176" s="26"/>
      <c r="AI176" s="26"/>
      <c r="AJ176" s="2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  <c r="EF176" s="16"/>
      <c r="EG176" s="16"/>
      <c r="EH176" s="16"/>
      <c r="EI176" s="16"/>
      <c r="EJ176" s="16"/>
      <c r="EK176" s="16"/>
      <c r="EL176" s="16"/>
      <c r="EM176" s="16"/>
      <c r="EN176" s="16"/>
      <c r="EO176" s="16"/>
      <c r="EP176" s="16"/>
      <c r="EQ176" s="16"/>
      <c r="ER176" s="16"/>
      <c r="ES176" s="16"/>
      <c r="ET176" s="16"/>
      <c r="EU176" s="16"/>
      <c r="EV176" s="16"/>
      <c r="EW176" s="16"/>
      <c r="EX176" s="16"/>
      <c r="EY176" s="16"/>
      <c r="EZ176" s="16"/>
      <c r="FA176" s="16"/>
      <c r="FB176" s="16"/>
    </row>
    <row r="177" spans="1:158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70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25"/>
      <c r="AD177" s="26"/>
      <c r="AE177" s="26"/>
      <c r="AF177" s="26"/>
      <c r="AG177" s="25"/>
      <c r="AH177" s="26"/>
      <c r="AI177" s="26"/>
      <c r="AJ177" s="2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</row>
    <row r="178" spans="1:158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70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25"/>
      <c r="AD178" s="26"/>
      <c r="AE178" s="26"/>
      <c r="AF178" s="26"/>
      <c r="AG178" s="25"/>
      <c r="AH178" s="26"/>
      <c r="AI178" s="26"/>
      <c r="AJ178" s="2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16"/>
      <c r="EN178" s="16"/>
      <c r="EO178" s="16"/>
      <c r="EP178" s="16"/>
      <c r="EQ178" s="16"/>
      <c r="ER178" s="1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</row>
    <row r="179" spans="1:158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70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25"/>
      <c r="AD179" s="26"/>
      <c r="AE179" s="26"/>
      <c r="AF179" s="26"/>
      <c r="AG179" s="25"/>
      <c r="AH179" s="26"/>
      <c r="AI179" s="26"/>
      <c r="AJ179" s="2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</row>
    <row r="180" spans="1:158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70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25"/>
      <c r="AD180" s="26"/>
      <c r="AE180" s="26"/>
      <c r="AF180" s="26"/>
      <c r="AG180" s="25"/>
      <c r="AH180" s="26"/>
      <c r="AI180" s="26"/>
      <c r="AJ180" s="2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6"/>
      <c r="EQ180" s="16"/>
      <c r="ER180" s="1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</row>
    <row r="181" spans="1:158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70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25"/>
      <c r="AD181" s="26"/>
      <c r="AE181" s="26"/>
      <c r="AF181" s="26"/>
      <c r="AG181" s="25"/>
      <c r="AH181" s="26"/>
      <c r="AI181" s="26"/>
      <c r="AJ181" s="2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</row>
    <row r="182" spans="1:158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70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25"/>
      <c r="AD182" s="26"/>
      <c r="AE182" s="26"/>
      <c r="AF182" s="26"/>
      <c r="AG182" s="25"/>
      <c r="AH182" s="26"/>
      <c r="AI182" s="26"/>
      <c r="AJ182" s="2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6"/>
      <c r="EQ182" s="16"/>
      <c r="ER182" s="1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</row>
    <row r="183" spans="1:158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70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25"/>
      <c r="AD183" s="26"/>
      <c r="AE183" s="26"/>
      <c r="AF183" s="26"/>
      <c r="AG183" s="25"/>
      <c r="AH183" s="26"/>
      <c r="AI183" s="26"/>
      <c r="AJ183" s="2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6"/>
      <c r="ER183" s="1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</row>
    <row r="184" spans="1:158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70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25"/>
      <c r="AD184" s="26"/>
      <c r="AE184" s="26"/>
      <c r="AF184" s="26"/>
      <c r="AG184" s="25"/>
      <c r="AH184" s="26"/>
      <c r="AI184" s="26"/>
      <c r="AJ184" s="2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  <c r="EB184" s="16"/>
      <c r="EC184" s="16"/>
      <c r="ED184" s="16"/>
      <c r="EE184" s="16"/>
      <c r="EF184" s="16"/>
      <c r="EG184" s="16"/>
      <c r="EH184" s="16"/>
      <c r="EI184" s="16"/>
      <c r="EJ184" s="16"/>
      <c r="EK184" s="16"/>
      <c r="EL184" s="16"/>
      <c r="EM184" s="16"/>
      <c r="EN184" s="16"/>
      <c r="EO184" s="16"/>
      <c r="EP184" s="16"/>
      <c r="EQ184" s="16"/>
      <c r="ER184" s="16"/>
      <c r="ES184" s="16"/>
      <c r="ET184" s="16"/>
      <c r="EU184" s="16"/>
      <c r="EV184" s="16"/>
      <c r="EW184" s="16"/>
      <c r="EX184" s="16"/>
      <c r="EY184" s="16"/>
      <c r="EZ184" s="16"/>
      <c r="FA184" s="16"/>
      <c r="FB184" s="16"/>
    </row>
    <row r="185" spans="1:158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70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25"/>
      <c r="AD185" s="26"/>
      <c r="AE185" s="26"/>
      <c r="AF185" s="26"/>
      <c r="AG185" s="25"/>
      <c r="AH185" s="26"/>
      <c r="AI185" s="26"/>
      <c r="AJ185" s="2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16"/>
      <c r="EJ185" s="16"/>
      <c r="EK185" s="16"/>
      <c r="EL185" s="16"/>
      <c r="EM185" s="16"/>
      <c r="EN185" s="16"/>
      <c r="EO185" s="16"/>
      <c r="EP185" s="16"/>
      <c r="EQ185" s="16"/>
      <c r="ER185" s="16"/>
      <c r="ES185" s="16"/>
      <c r="ET185" s="16"/>
      <c r="EU185" s="16"/>
      <c r="EV185" s="16"/>
      <c r="EW185" s="16"/>
      <c r="EX185" s="16"/>
      <c r="EY185" s="16"/>
      <c r="EZ185" s="16"/>
      <c r="FA185" s="16"/>
      <c r="FB185" s="16"/>
    </row>
    <row r="186" spans="1:158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70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25"/>
      <c r="AD186" s="26"/>
      <c r="AE186" s="26"/>
      <c r="AF186" s="26"/>
      <c r="AG186" s="25"/>
      <c r="AH186" s="26"/>
      <c r="AI186" s="26"/>
      <c r="AJ186" s="2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  <c r="EB186" s="16"/>
      <c r="EC186" s="16"/>
      <c r="ED186" s="16"/>
      <c r="EE186" s="16"/>
      <c r="EF186" s="16"/>
      <c r="EG186" s="16"/>
      <c r="EH186" s="16"/>
      <c r="EI186" s="16"/>
      <c r="EJ186" s="16"/>
      <c r="EK186" s="16"/>
      <c r="EL186" s="16"/>
      <c r="EM186" s="16"/>
      <c r="EN186" s="16"/>
      <c r="EO186" s="16"/>
      <c r="EP186" s="16"/>
      <c r="EQ186" s="16"/>
      <c r="ER186" s="16"/>
      <c r="ES186" s="16"/>
      <c r="ET186" s="16"/>
      <c r="EU186" s="16"/>
      <c r="EV186" s="16"/>
      <c r="EW186" s="16"/>
      <c r="EX186" s="16"/>
      <c r="EY186" s="16"/>
      <c r="EZ186" s="16"/>
      <c r="FA186" s="16"/>
      <c r="FB186" s="16"/>
    </row>
    <row r="187" spans="1:158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70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25"/>
      <c r="AD187" s="26"/>
      <c r="AE187" s="26"/>
      <c r="AF187" s="26"/>
      <c r="AG187" s="25"/>
      <c r="AH187" s="26"/>
      <c r="AI187" s="26"/>
      <c r="AJ187" s="2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16"/>
      <c r="EJ187" s="16"/>
      <c r="EK187" s="16"/>
      <c r="EL187" s="16"/>
      <c r="EM187" s="16"/>
      <c r="EN187" s="16"/>
      <c r="EO187" s="16"/>
      <c r="EP187" s="16"/>
      <c r="EQ187" s="16"/>
      <c r="ER187" s="16"/>
      <c r="ES187" s="16"/>
      <c r="ET187" s="16"/>
      <c r="EU187" s="16"/>
      <c r="EV187" s="16"/>
      <c r="EW187" s="16"/>
      <c r="EX187" s="16"/>
      <c r="EY187" s="16"/>
      <c r="EZ187" s="16"/>
      <c r="FA187" s="16"/>
      <c r="FB187" s="16"/>
    </row>
    <row r="188" spans="1:158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70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25"/>
      <c r="AD188" s="26"/>
      <c r="AE188" s="26"/>
      <c r="AF188" s="26"/>
      <c r="AG188" s="25"/>
      <c r="AH188" s="26"/>
      <c r="AI188" s="26"/>
      <c r="AJ188" s="2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  <c r="EB188" s="16"/>
      <c r="EC188" s="16"/>
      <c r="ED188" s="16"/>
      <c r="EE188" s="16"/>
      <c r="EF188" s="16"/>
      <c r="EG188" s="16"/>
      <c r="EH188" s="16"/>
      <c r="EI188" s="16"/>
      <c r="EJ188" s="16"/>
      <c r="EK188" s="16"/>
      <c r="EL188" s="16"/>
      <c r="EM188" s="16"/>
      <c r="EN188" s="16"/>
      <c r="EO188" s="16"/>
      <c r="EP188" s="16"/>
      <c r="EQ188" s="16"/>
      <c r="ER188" s="16"/>
      <c r="ES188" s="16"/>
      <c r="ET188" s="16"/>
      <c r="EU188" s="16"/>
      <c r="EV188" s="16"/>
      <c r="EW188" s="16"/>
      <c r="EX188" s="16"/>
      <c r="EY188" s="16"/>
      <c r="EZ188" s="16"/>
      <c r="FA188" s="16"/>
      <c r="FB188" s="16"/>
    </row>
    <row r="189" spans="1:158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70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25"/>
      <c r="AD189" s="26"/>
      <c r="AE189" s="26"/>
      <c r="AF189" s="26"/>
      <c r="AG189" s="25"/>
      <c r="AH189" s="26"/>
      <c r="AI189" s="26"/>
      <c r="AJ189" s="2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</row>
    <row r="190" spans="1:158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70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25"/>
      <c r="AD190" s="26"/>
      <c r="AE190" s="26"/>
      <c r="AF190" s="26"/>
      <c r="AG190" s="25"/>
      <c r="AH190" s="26"/>
      <c r="AI190" s="26"/>
      <c r="AJ190" s="2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16"/>
      <c r="EJ190" s="16"/>
      <c r="EK190" s="16"/>
      <c r="EL190" s="16"/>
      <c r="EM190" s="16"/>
      <c r="EN190" s="16"/>
      <c r="EO190" s="16"/>
      <c r="EP190" s="16"/>
      <c r="EQ190" s="16"/>
      <c r="ER190" s="16"/>
      <c r="ES190" s="16"/>
      <c r="ET190" s="16"/>
      <c r="EU190" s="16"/>
      <c r="EV190" s="16"/>
      <c r="EW190" s="16"/>
      <c r="EX190" s="16"/>
      <c r="EY190" s="16"/>
      <c r="EZ190" s="16"/>
      <c r="FA190" s="16"/>
      <c r="FB190" s="16"/>
    </row>
    <row r="191" spans="1:158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70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25"/>
      <c r="AD191" s="26"/>
      <c r="AE191" s="26"/>
      <c r="AF191" s="26"/>
      <c r="AG191" s="25"/>
      <c r="AH191" s="26"/>
      <c r="AI191" s="26"/>
      <c r="AJ191" s="2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6"/>
      <c r="EQ191" s="16"/>
      <c r="ER191" s="16"/>
      <c r="ES191" s="16"/>
      <c r="ET191" s="16"/>
      <c r="EU191" s="16"/>
      <c r="EV191" s="16"/>
      <c r="EW191" s="16"/>
      <c r="EX191" s="16"/>
      <c r="EY191" s="16"/>
      <c r="EZ191" s="16"/>
      <c r="FA191" s="16"/>
      <c r="FB191" s="16"/>
    </row>
    <row r="192" spans="1:158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70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25"/>
      <c r="AD192" s="26"/>
      <c r="AE192" s="26"/>
      <c r="AF192" s="26"/>
      <c r="AG192" s="25"/>
      <c r="AH192" s="26"/>
      <c r="AI192" s="26"/>
      <c r="AJ192" s="2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  <c r="EB192" s="16"/>
      <c r="EC192" s="16"/>
      <c r="ED192" s="16"/>
      <c r="EE192" s="16"/>
      <c r="EF192" s="16"/>
      <c r="EG192" s="16"/>
      <c r="EH192" s="16"/>
      <c r="EI192" s="16"/>
      <c r="EJ192" s="16"/>
      <c r="EK192" s="16"/>
      <c r="EL192" s="16"/>
      <c r="EM192" s="16"/>
      <c r="EN192" s="16"/>
      <c r="EO192" s="16"/>
      <c r="EP192" s="16"/>
      <c r="EQ192" s="16"/>
      <c r="ER192" s="16"/>
      <c r="ES192" s="16"/>
      <c r="ET192" s="16"/>
      <c r="EU192" s="16"/>
      <c r="EV192" s="16"/>
      <c r="EW192" s="16"/>
      <c r="EX192" s="16"/>
      <c r="EY192" s="16"/>
      <c r="EZ192" s="16"/>
      <c r="FA192" s="16"/>
      <c r="FB192" s="16"/>
    </row>
    <row r="193" spans="1:158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70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25"/>
      <c r="AD193" s="26"/>
      <c r="AE193" s="26"/>
      <c r="AF193" s="26"/>
      <c r="AG193" s="25"/>
      <c r="AH193" s="26"/>
      <c r="AI193" s="26"/>
      <c r="AJ193" s="2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16"/>
      <c r="EJ193" s="16"/>
      <c r="EK193" s="16"/>
      <c r="EL193" s="16"/>
      <c r="EM193" s="16"/>
      <c r="EN193" s="16"/>
      <c r="EO193" s="16"/>
      <c r="EP193" s="16"/>
      <c r="EQ193" s="16"/>
      <c r="ER193" s="16"/>
      <c r="ES193" s="16"/>
      <c r="ET193" s="16"/>
      <c r="EU193" s="16"/>
      <c r="EV193" s="16"/>
      <c r="EW193" s="16"/>
      <c r="EX193" s="16"/>
      <c r="EY193" s="16"/>
      <c r="EZ193" s="16"/>
      <c r="FA193" s="16"/>
      <c r="FB193" s="16"/>
    </row>
    <row r="194" spans="1:158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70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25"/>
      <c r="AD194" s="26"/>
      <c r="AE194" s="26"/>
      <c r="AF194" s="26"/>
      <c r="AG194" s="25"/>
      <c r="AH194" s="26"/>
      <c r="AI194" s="26"/>
      <c r="AJ194" s="2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  <c r="EB194" s="16"/>
      <c r="EC194" s="16"/>
      <c r="ED194" s="16"/>
      <c r="EE194" s="16"/>
      <c r="EF194" s="16"/>
      <c r="EG194" s="16"/>
      <c r="EH194" s="16"/>
      <c r="EI194" s="16"/>
      <c r="EJ194" s="16"/>
      <c r="EK194" s="16"/>
      <c r="EL194" s="16"/>
      <c r="EM194" s="16"/>
      <c r="EN194" s="16"/>
      <c r="EO194" s="16"/>
      <c r="EP194" s="16"/>
      <c r="EQ194" s="16"/>
      <c r="ER194" s="16"/>
      <c r="ES194" s="16"/>
      <c r="ET194" s="16"/>
      <c r="EU194" s="16"/>
      <c r="EV194" s="16"/>
      <c r="EW194" s="16"/>
      <c r="EX194" s="16"/>
      <c r="EY194" s="16"/>
      <c r="EZ194" s="16"/>
      <c r="FA194" s="16"/>
      <c r="FB194" s="16"/>
    </row>
    <row r="195" spans="1:158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70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25"/>
      <c r="AD195" s="26"/>
      <c r="AE195" s="26"/>
      <c r="AF195" s="26"/>
      <c r="AG195" s="25"/>
      <c r="AH195" s="26"/>
      <c r="AI195" s="26"/>
      <c r="AJ195" s="2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16"/>
      <c r="EJ195" s="16"/>
      <c r="EK195" s="16"/>
      <c r="EL195" s="16"/>
      <c r="EM195" s="16"/>
      <c r="EN195" s="16"/>
      <c r="EO195" s="16"/>
      <c r="EP195" s="16"/>
      <c r="EQ195" s="16"/>
      <c r="ER195" s="16"/>
      <c r="ES195" s="16"/>
      <c r="ET195" s="16"/>
      <c r="EU195" s="16"/>
      <c r="EV195" s="16"/>
      <c r="EW195" s="16"/>
      <c r="EX195" s="16"/>
      <c r="EY195" s="16"/>
      <c r="EZ195" s="16"/>
      <c r="FA195" s="16"/>
      <c r="FB195" s="16"/>
    </row>
    <row r="196" spans="1:158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70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25"/>
      <c r="AD196" s="26"/>
      <c r="AE196" s="26"/>
      <c r="AF196" s="26"/>
      <c r="AG196" s="25"/>
      <c r="AH196" s="26"/>
      <c r="AI196" s="26"/>
      <c r="AJ196" s="2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  <c r="EB196" s="16"/>
      <c r="EC196" s="16"/>
      <c r="ED196" s="16"/>
      <c r="EE196" s="16"/>
      <c r="EF196" s="16"/>
      <c r="EG196" s="16"/>
      <c r="EH196" s="16"/>
      <c r="EI196" s="16"/>
      <c r="EJ196" s="16"/>
      <c r="EK196" s="16"/>
      <c r="EL196" s="16"/>
      <c r="EM196" s="16"/>
      <c r="EN196" s="16"/>
      <c r="EO196" s="16"/>
      <c r="EP196" s="16"/>
      <c r="EQ196" s="16"/>
      <c r="ER196" s="16"/>
      <c r="ES196" s="16"/>
      <c r="ET196" s="16"/>
      <c r="EU196" s="16"/>
      <c r="EV196" s="16"/>
      <c r="EW196" s="16"/>
      <c r="EX196" s="16"/>
      <c r="EY196" s="16"/>
      <c r="EZ196" s="16"/>
      <c r="FA196" s="16"/>
      <c r="FB196" s="16"/>
    </row>
    <row r="197" spans="1:158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70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25"/>
      <c r="AD197" s="26"/>
      <c r="AE197" s="26"/>
      <c r="AF197" s="26"/>
      <c r="AG197" s="25"/>
      <c r="AH197" s="26"/>
      <c r="AI197" s="26"/>
      <c r="AJ197" s="2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U197" s="16"/>
      <c r="EV197" s="16"/>
      <c r="EW197" s="16"/>
      <c r="EX197" s="16"/>
      <c r="EY197" s="16"/>
      <c r="EZ197" s="16"/>
      <c r="FA197" s="16"/>
      <c r="FB197" s="16"/>
    </row>
    <row r="198" spans="1:158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70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25"/>
      <c r="AD198" s="26"/>
      <c r="AE198" s="26"/>
      <c r="AF198" s="26"/>
      <c r="AG198" s="25"/>
      <c r="AH198" s="26"/>
      <c r="AI198" s="26"/>
      <c r="AJ198" s="2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  <c r="EB198" s="16"/>
      <c r="EC198" s="16"/>
      <c r="ED198" s="16"/>
      <c r="EE198" s="16"/>
      <c r="EF198" s="16"/>
      <c r="EG198" s="16"/>
      <c r="EH198" s="16"/>
      <c r="EI198" s="16"/>
      <c r="EJ198" s="16"/>
      <c r="EK198" s="16"/>
      <c r="EL198" s="16"/>
      <c r="EM198" s="16"/>
      <c r="EN198" s="16"/>
      <c r="EO198" s="16"/>
      <c r="EP198" s="16"/>
      <c r="EQ198" s="16"/>
      <c r="ER198" s="16"/>
      <c r="ES198" s="16"/>
      <c r="ET198" s="16"/>
      <c r="EU198" s="16"/>
      <c r="EV198" s="16"/>
      <c r="EW198" s="16"/>
      <c r="EX198" s="16"/>
      <c r="EY198" s="16"/>
      <c r="EZ198" s="16"/>
      <c r="FA198" s="16"/>
      <c r="FB198" s="16"/>
    </row>
    <row r="199" spans="1:158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70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25"/>
      <c r="AD199" s="26"/>
      <c r="AE199" s="26"/>
      <c r="AF199" s="26"/>
      <c r="AG199" s="25"/>
      <c r="AH199" s="26"/>
      <c r="AI199" s="26"/>
      <c r="AJ199" s="2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</row>
    <row r="200" spans="1:158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70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25"/>
      <c r="AD200" s="26"/>
      <c r="AE200" s="26"/>
      <c r="AF200" s="26"/>
      <c r="AG200" s="25"/>
      <c r="AH200" s="26"/>
      <c r="AI200" s="26"/>
      <c r="AJ200" s="2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  <c r="EB200" s="16"/>
      <c r="EC200" s="16"/>
      <c r="ED200" s="16"/>
      <c r="EE200" s="16"/>
      <c r="EF200" s="16"/>
      <c r="EG200" s="16"/>
      <c r="EH200" s="16"/>
      <c r="EI200" s="16"/>
      <c r="EJ200" s="16"/>
      <c r="EK200" s="16"/>
      <c r="EL200" s="16"/>
      <c r="EM200" s="16"/>
      <c r="EN200" s="16"/>
      <c r="EO200" s="16"/>
      <c r="EP200" s="16"/>
      <c r="EQ200" s="16"/>
      <c r="ER200" s="16"/>
      <c r="ES200" s="16"/>
      <c r="ET200" s="16"/>
      <c r="EU200" s="16"/>
      <c r="EV200" s="16"/>
      <c r="EW200" s="16"/>
      <c r="EX200" s="16"/>
      <c r="EY200" s="16"/>
      <c r="EZ200" s="16"/>
      <c r="FA200" s="16"/>
      <c r="FB200" s="16"/>
    </row>
    <row r="201" spans="1:158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70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25"/>
      <c r="AD201" s="26"/>
      <c r="AE201" s="26"/>
      <c r="AF201" s="26"/>
      <c r="AG201" s="25"/>
      <c r="AH201" s="26"/>
      <c r="AI201" s="26"/>
      <c r="AJ201" s="2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6"/>
      <c r="ER201" s="16"/>
      <c r="ES201" s="16"/>
      <c r="ET201" s="16"/>
      <c r="EU201" s="16"/>
      <c r="EV201" s="16"/>
      <c r="EW201" s="16"/>
      <c r="EX201" s="16"/>
      <c r="EY201" s="16"/>
      <c r="EZ201" s="16"/>
      <c r="FA201" s="16"/>
      <c r="FB201" s="16"/>
    </row>
    <row r="202" spans="1:158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70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25"/>
      <c r="AD202" s="26"/>
      <c r="AE202" s="26"/>
      <c r="AF202" s="26"/>
      <c r="AG202" s="25"/>
      <c r="AH202" s="26"/>
      <c r="AI202" s="26"/>
      <c r="AJ202" s="2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  <c r="EB202" s="16"/>
      <c r="EC202" s="16"/>
      <c r="ED202" s="16"/>
      <c r="EE202" s="16"/>
      <c r="EF202" s="16"/>
      <c r="EG202" s="16"/>
      <c r="EH202" s="16"/>
      <c r="EI202" s="16"/>
      <c r="EJ202" s="16"/>
      <c r="EK202" s="16"/>
      <c r="EL202" s="16"/>
      <c r="EM202" s="16"/>
      <c r="EN202" s="16"/>
      <c r="EO202" s="16"/>
      <c r="EP202" s="16"/>
      <c r="EQ202" s="16"/>
      <c r="ER202" s="16"/>
      <c r="ES202" s="16"/>
      <c r="ET202" s="16"/>
      <c r="EU202" s="16"/>
      <c r="EV202" s="16"/>
      <c r="EW202" s="16"/>
      <c r="EX202" s="16"/>
      <c r="EY202" s="16"/>
      <c r="EZ202" s="16"/>
      <c r="FA202" s="16"/>
      <c r="FB202" s="16"/>
    </row>
    <row r="203" spans="1:158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70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25"/>
      <c r="AD203" s="26"/>
      <c r="AE203" s="26"/>
      <c r="AF203" s="26"/>
      <c r="AG203" s="25"/>
      <c r="AH203" s="26"/>
      <c r="AI203" s="26"/>
      <c r="AJ203" s="2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16"/>
      <c r="EJ203" s="16"/>
      <c r="EK203" s="16"/>
      <c r="EL203" s="16"/>
      <c r="EM203" s="16"/>
      <c r="EN203" s="16"/>
      <c r="EO203" s="16"/>
      <c r="EP203" s="16"/>
      <c r="EQ203" s="16"/>
      <c r="ER203" s="16"/>
      <c r="ES203" s="16"/>
      <c r="ET203" s="16"/>
      <c r="EU203" s="16"/>
      <c r="EV203" s="16"/>
      <c r="EW203" s="16"/>
      <c r="EX203" s="16"/>
      <c r="EY203" s="16"/>
      <c r="EZ203" s="16"/>
      <c r="FA203" s="16"/>
      <c r="FB203" s="16"/>
    </row>
    <row r="204" spans="1:158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70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25"/>
      <c r="AD204" s="26"/>
      <c r="AE204" s="26"/>
      <c r="AF204" s="26"/>
      <c r="AG204" s="25"/>
      <c r="AH204" s="26"/>
      <c r="AI204" s="26"/>
      <c r="AJ204" s="2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  <c r="EB204" s="16"/>
      <c r="EC204" s="16"/>
      <c r="ED204" s="16"/>
      <c r="EE204" s="16"/>
      <c r="EF204" s="16"/>
      <c r="EG204" s="16"/>
      <c r="EH204" s="16"/>
      <c r="EI204" s="16"/>
      <c r="EJ204" s="16"/>
      <c r="EK204" s="16"/>
      <c r="EL204" s="16"/>
      <c r="EM204" s="16"/>
      <c r="EN204" s="16"/>
      <c r="EO204" s="16"/>
      <c r="EP204" s="16"/>
      <c r="EQ204" s="16"/>
      <c r="ER204" s="16"/>
      <c r="ES204" s="16"/>
      <c r="ET204" s="16"/>
      <c r="EU204" s="16"/>
      <c r="EV204" s="16"/>
      <c r="EW204" s="16"/>
      <c r="EX204" s="16"/>
      <c r="EY204" s="16"/>
      <c r="EZ204" s="16"/>
      <c r="FA204" s="16"/>
      <c r="FB204" s="16"/>
    </row>
    <row r="205" spans="1:158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70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25"/>
      <c r="AD205" s="26"/>
      <c r="AE205" s="26"/>
      <c r="AF205" s="26"/>
      <c r="AG205" s="25"/>
      <c r="AH205" s="26"/>
      <c r="AI205" s="26"/>
      <c r="AJ205" s="2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16"/>
      <c r="EJ205" s="16"/>
      <c r="EK205" s="16"/>
      <c r="EL205" s="16"/>
      <c r="EM205" s="16"/>
      <c r="EN205" s="16"/>
      <c r="EO205" s="16"/>
      <c r="EP205" s="16"/>
      <c r="EQ205" s="16"/>
      <c r="ER205" s="16"/>
      <c r="ES205" s="16"/>
      <c r="ET205" s="16"/>
      <c r="EU205" s="16"/>
      <c r="EV205" s="16"/>
      <c r="EW205" s="16"/>
      <c r="EX205" s="16"/>
      <c r="EY205" s="16"/>
      <c r="EZ205" s="16"/>
      <c r="FA205" s="16"/>
      <c r="FB205" s="16"/>
    </row>
    <row r="206" spans="1:158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70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25"/>
      <c r="AD206" s="26"/>
      <c r="AE206" s="26"/>
      <c r="AF206" s="26"/>
      <c r="AG206" s="25"/>
      <c r="AH206" s="26"/>
      <c r="AI206" s="26"/>
      <c r="AJ206" s="2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  <c r="EB206" s="16"/>
      <c r="EC206" s="16"/>
      <c r="ED206" s="16"/>
      <c r="EE206" s="16"/>
      <c r="EF206" s="16"/>
      <c r="EG206" s="16"/>
      <c r="EH206" s="16"/>
      <c r="EI206" s="16"/>
      <c r="EJ206" s="16"/>
      <c r="EK206" s="16"/>
      <c r="EL206" s="16"/>
      <c r="EM206" s="16"/>
      <c r="EN206" s="16"/>
      <c r="EO206" s="16"/>
      <c r="EP206" s="16"/>
      <c r="EQ206" s="16"/>
      <c r="ER206" s="16"/>
      <c r="ES206" s="16"/>
      <c r="ET206" s="16"/>
      <c r="EU206" s="16"/>
      <c r="EV206" s="16"/>
      <c r="EW206" s="16"/>
      <c r="EX206" s="16"/>
      <c r="EY206" s="16"/>
      <c r="EZ206" s="16"/>
      <c r="FA206" s="16"/>
      <c r="FB206" s="16"/>
    </row>
    <row r="207" spans="1:158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70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25"/>
      <c r="AD207" s="26"/>
      <c r="AE207" s="26"/>
      <c r="AF207" s="26"/>
      <c r="AG207" s="25"/>
      <c r="AH207" s="26"/>
      <c r="AI207" s="26"/>
      <c r="AJ207" s="2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U207" s="16"/>
      <c r="EV207" s="16"/>
      <c r="EW207" s="16"/>
      <c r="EX207" s="16"/>
      <c r="EY207" s="16"/>
      <c r="EZ207" s="16"/>
      <c r="FA207" s="16"/>
      <c r="FB207" s="16"/>
    </row>
    <row r="208" spans="1:158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70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25"/>
      <c r="AD208" s="26"/>
      <c r="AE208" s="26"/>
      <c r="AF208" s="26"/>
      <c r="AG208" s="25"/>
      <c r="AH208" s="26"/>
      <c r="AI208" s="26"/>
      <c r="AJ208" s="2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  <c r="EB208" s="16"/>
      <c r="EC208" s="16"/>
      <c r="ED208" s="16"/>
      <c r="EE208" s="16"/>
      <c r="EF208" s="16"/>
      <c r="EG208" s="16"/>
      <c r="EH208" s="16"/>
      <c r="EI208" s="16"/>
      <c r="EJ208" s="16"/>
      <c r="EK208" s="16"/>
      <c r="EL208" s="16"/>
      <c r="EM208" s="16"/>
      <c r="EN208" s="16"/>
      <c r="EO208" s="16"/>
      <c r="EP208" s="16"/>
      <c r="EQ208" s="16"/>
      <c r="ER208" s="16"/>
      <c r="ES208" s="16"/>
      <c r="ET208" s="16"/>
      <c r="EU208" s="16"/>
      <c r="EV208" s="16"/>
      <c r="EW208" s="16"/>
      <c r="EX208" s="16"/>
      <c r="EY208" s="16"/>
      <c r="EZ208" s="16"/>
      <c r="FA208" s="16"/>
      <c r="FB208" s="16"/>
    </row>
    <row r="209" spans="1:158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70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25"/>
      <c r="AD209" s="26"/>
      <c r="AE209" s="26"/>
      <c r="AF209" s="26"/>
      <c r="AG209" s="25"/>
      <c r="AH209" s="26"/>
      <c r="AI209" s="26"/>
      <c r="AJ209" s="2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U209" s="16"/>
      <c r="EV209" s="16"/>
      <c r="EW209" s="16"/>
      <c r="EX209" s="16"/>
      <c r="EY209" s="16"/>
      <c r="EZ209" s="16"/>
      <c r="FA209" s="16"/>
      <c r="FB209" s="16"/>
    </row>
    <row r="210" spans="1:158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70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25"/>
      <c r="AD210" s="26"/>
      <c r="AE210" s="26"/>
      <c r="AF210" s="26"/>
      <c r="AG210" s="25"/>
      <c r="AH210" s="26"/>
      <c r="AI210" s="26"/>
      <c r="AJ210" s="2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  <c r="EB210" s="16"/>
      <c r="EC210" s="16"/>
      <c r="ED210" s="16"/>
      <c r="EE210" s="16"/>
      <c r="EF210" s="16"/>
      <c r="EG210" s="16"/>
      <c r="EH210" s="16"/>
      <c r="EI210" s="16"/>
      <c r="EJ210" s="16"/>
      <c r="EK210" s="16"/>
      <c r="EL210" s="16"/>
      <c r="EM210" s="16"/>
      <c r="EN210" s="16"/>
      <c r="EO210" s="16"/>
      <c r="EP210" s="16"/>
      <c r="EQ210" s="16"/>
      <c r="ER210" s="16"/>
      <c r="ES210" s="16"/>
      <c r="ET210" s="16"/>
      <c r="EU210" s="16"/>
      <c r="EV210" s="16"/>
      <c r="EW210" s="16"/>
      <c r="EX210" s="16"/>
      <c r="EY210" s="16"/>
      <c r="EZ210" s="16"/>
      <c r="FA210" s="16"/>
      <c r="FB210" s="16"/>
    </row>
    <row r="211" spans="1:158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70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25"/>
      <c r="AD211" s="26"/>
      <c r="AE211" s="26"/>
      <c r="AF211" s="26"/>
      <c r="AG211" s="25"/>
      <c r="AH211" s="26"/>
      <c r="AI211" s="26"/>
      <c r="AJ211" s="2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16"/>
      <c r="EJ211" s="16"/>
      <c r="EK211" s="16"/>
      <c r="EL211" s="16"/>
      <c r="EM211" s="16"/>
      <c r="EN211" s="16"/>
      <c r="EO211" s="16"/>
      <c r="EP211" s="16"/>
      <c r="EQ211" s="16"/>
      <c r="ER211" s="16"/>
      <c r="ES211" s="16"/>
      <c r="ET211" s="16"/>
      <c r="EU211" s="16"/>
      <c r="EV211" s="16"/>
      <c r="EW211" s="16"/>
      <c r="EX211" s="16"/>
      <c r="EY211" s="16"/>
      <c r="EZ211" s="16"/>
      <c r="FA211" s="16"/>
      <c r="FB211" s="16"/>
    </row>
    <row r="212" spans="1:158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70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25"/>
      <c r="AD212" s="26"/>
      <c r="AE212" s="26"/>
      <c r="AF212" s="26"/>
      <c r="AG212" s="25"/>
      <c r="AH212" s="26"/>
      <c r="AI212" s="26"/>
      <c r="AJ212" s="2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  <c r="EB212" s="16"/>
      <c r="EC212" s="16"/>
      <c r="ED212" s="16"/>
      <c r="EE212" s="16"/>
      <c r="EF212" s="16"/>
      <c r="EG212" s="16"/>
      <c r="EH212" s="16"/>
      <c r="EI212" s="16"/>
      <c r="EJ212" s="16"/>
      <c r="EK212" s="16"/>
      <c r="EL212" s="16"/>
      <c r="EM212" s="16"/>
      <c r="EN212" s="16"/>
      <c r="EO212" s="16"/>
      <c r="EP212" s="16"/>
      <c r="EQ212" s="16"/>
      <c r="ER212" s="16"/>
      <c r="ES212" s="16"/>
      <c r="ET212" s="16"/>
      <c r="EU212" s="16"/>
      <c r="EV212" s="16"/>
      <c r="EW212" s="16"/>
      <c r="EX212" s="16"/>
      <c r="EY212" s="16"/>
      <c r="EZ212" s="16"/>
      <c r="FA212" s="16"/>
      <c r="FB212" s="16"/>
    </row>
    <row r="213" spans="1:158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70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25"/>
      <c r="AD213" s="26"/>
      <c r="AE213" s="26"/>
      <c r="AF213" s="26"/>
      <c r="AG213" s="25"/>
      <c r="AH213" s="26"/>
      <c r="AI213" s="26"/>
      <c r="AJ213" s="2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16"/>
      <c r="EJ213" s="16"/>
      <c r="EK213" s="16"/>
      <c r="EL213" s="16"/>
      <c r="EM213" s="16"/>
      <c r="EN213" s="16"/>
      <c r="EO213" s="16"/>
      <c r="EP213" s="16"/>
      <c r="EQ213" s="16"/>
      <c r="ER213" s="16"/>
      <c r="ES213" s="16"/>
      <c r="ET213" s="16"/>
      <c r="EU213" s="16"/>
      <c r="EV213" s="16"/>
      <c r="EW213" s="16"/>
      <c r="EX213" s="16"/>
      <c r="EY213" s="16"/>
      <c r="EZ213" s="16"/>
      <c r="FA213" s="16"/>
      <c r="FB213" s="16"/>
    </row>
    <row r="214" spans="1:158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70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25"/>
      <c r="AD214" s="26"/>
      <c r="AE214" s="26"/>
      <c r="AF214" s="26"/>
      <c r="AG214" s="25"/>
      <c r="AH214" s="26"/>
      <c r="AI214" s="26"/>
      <c r="AJ214" s="2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  <c r="EB214" s="16"/>
      <c r="EC214" s="16"/>
      <c r="ED214" s="16"/>
      <c r="EE214" s="16"/>
      <c r="EF214" s="16"/>
      <c r="EG214" s="16"/>
      <c r="EH214" s="16"/>
      <c r="EI214" s="16"/>
      <c r="EJ214" s="16"/>
      <c r="EK214" s="16"/>
      <c r="EL214" s="16"/>
      <c r="EM214" s="16"/>
      <c r="EN214" s="16"/>
      <c r="EO214" s="16"/>
      <c r="EP214" s="16"/>
      <c r="EQ214" s="16"/>
      <c r="ER214" s="16"/>
      <c r="ES214" s="16"/>
      <c r="ET214" s="16"/>
      <c r="EU214" s="16"/>
      <c r="EV214" s="16"/>
      <c r="EW214" s="16"/>
      <c r="EX214" s="16"/>
      <c r="EY214" s="16"/>
      <c r="EZ214" s="16"/>
      <c r="FA214" s="16"/>
      <c r="FB214" s="16"/>
    </row>
    <row r="215" spans="1:158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70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25"/>
      <c r="AD215" s="26"/>
      <c r="AE215" s="26"/>
      <c r="AF215" s="26"/>
      <c r="AG215" s="25"/>
      <c r="AH215" s="26"/>
      <c r="AI215" s="26"/>
      <c r="AJ215" s="2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U215" s="16"/>
      <c r="EV215" s="16"/>
      <c r="EW215" s="16"/>
      <c r="EX215" s="16"/>
      <c r="EY215" s="16"/>
      <c r="EZ215" s="16"/>
      <c r="FA215" s="16"/>
      <c r="FB215" s="16"/>
    </row>
    <row r="216" spans="1:158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70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25"/>
      <c r="AD216" s="26"/>
      <c r="AE216" s="26"/>
      <c r="AF216" s="26"/>
      <c r="AG216" s="25"/>
      <c r="AH216" s="26"/>
      <c r="AI216" s="26"/>
      <c r="AJ216" s="2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  <c r="EB216" s="16"/>
      <c r="EC216" s="16"/>
      <c r="ED216" s="16"/>
      <c r="EE216" s="16"/>
      <c r="EF216" s="16"/>
      <c r="EG216" s="16"/>
      <c r="EH216" s="16"/>
      <c r="EI216" s="16"/>
      <c r="EJ216" s="16"/>
      <c r="EK216" s="16"/>
      <c r="EL216" s="16"/>
      <c r="EM216" s="16"/>
      <c r="EN216" s="16"/>
      <c r="EO216" s="16"/>
      <c r="EP216" s="16"/>
      <c r="EQ216" s="16"/>
      <c r="ER216" s="16"/>
      <c r="ES216" s="16"/>
      <c r="ET216" s="16"/>
      <c r="EU216" s="16"/>
      <c r="EV216" s="16"/>
      <c r="EW216" s="16"/>
      <c r="EX216" s="16"/>
      <c r="EY216" s="16"/>
      <c r="EZ216" s="16"/>
      <c r="FA216" s="16"/>
      <c r="FB216" s="16"/>
    </row>
    <row r="217" spans="1:158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70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25"/>
      <c r="AD217" s="26"/>
      <c r="AE217" s="26"/>
      <c r="AF217" s="26"/>
      <c r="AG217" s="25"/>
      <c r="AH217" s="26"/>
      <c r="AI217" s="26"/>
      <c r="AJ217" s="2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16"/>
      <c r="EJ217" s="16"/>
      <c r="EK217" s="16"/>
      <c r="EL217" s="16"/>
      <c r="EM217" s="16"/>
      <c r="EN217" s="16"/>
      <c r="EO217" s="16"/>
      <c r="EP217" s="16"/>
      <c r="EQ217" s="16"/>
      <c r="ER217" s="16"/>
      <c r="ES217" s="16"/>
      <c r="ET217" s="16"/>
      <c r="EU217" s="16"/>
      <c r="EV217" s="16"/>
      <c r="EW217" s="16"/>
      <c r="EX217" s="16"/>
      <c r="EY217" s="16"/>
      <c r="EZ217" s="16"/>
      <c r="FA217" s="16"/>
      <c r="FB217" s="16"/>
    </row>
    <row r="218" spans="1:158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70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25"/>
      <c r="AD218" s="26"/>
      <c r="AE218" s="26"/>
      <c r="AF218" s="26"/>
      <c r="AG218" s="25"/>
      <c r="AH218" s="26"/>
      <c r="AI218" s="26"/>
      <c r="AJ218" s="2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U218" s="16"/>
      <c r="EV218" s="16"/>
      <c r="EW218" s="16"/>
      <c r="EX218" s="16"/>
      <c r="EY218" s="16"/>
      <c r="EZ218" s="16"/>
      <c r="FA218" s="16"/>
      <c r="FB218" s="16"/>
    </row>
    <row r="219" spans="1:158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70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25"/>
      <c r="AD219" s="26"/>
      <c r="AE219" s="26"/>
      <c r="AF219" s="26"/>
      <c r="AG219" s="25"/>
      <c r="AH219" s="26"/>
      <c r="AI219" s="26"/>
      <c r="AJ219" s="2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  <c r="EB219" s="16"/>
      <c r="EC219" s="16"/>
      <c r="ED219" s="16"/>
      <c r="EE219" s="16"/>
      <c r="EF219" s="16"/>
      <c r="EG219" s="16"/>
      <c r="EH219" s="16"/>
      <c r="EI219" s="16"/>
      <c r="EJ219" s="16"/>
      <c r="EK219" s="16"/>
      <c r="EL219" s="16"/>
      <c r="EM219" s="16"/>
      <c r="EN219" s="16"/>
      <c r="EO219" s="16"/>
      <c r="EP219" s="16"/>
      <c r="EQ219" s="16"/>
      <c r="ER219" s="16"/>
      <c r="ES219" s="16"/>
      <c r="ET219" s="16"/>
      <c r="EU219" s="16"/>
      <c r="EV219" s="16"/>
      <c r="EW219" s="16"/>
      <c r="EX219" s="16"/>
      <c r="EY219" s="16"/>
      <c r="EZ219" s="16"/>
      <c r="FA219" s="16"/>
      <c r="FB219" s="16"/>
    </row>
    <row r="220" spans="1:158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70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25"/>
      <c r="AD220" s="26"/>
      <c r="AE220" s="26"/>
      <c r="AF220" s="26"/>
      <c r="AG220" s="25"/>
      <c r="AH220" s="26"/>
      <c r="AI220" s="26"/>
      <c r="AJ220" s="2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16"/>
      <c r="EJ220" s="16"/>
      <c r="EK220" s="16"/>
      <c r="EL220" s="16"/>
      <c r="EM220" s="16"/>
      <c r="EN220" s="16"/>
      <c r="EO220" s="16"/>
      <c r="EP220" s="16"/>
      <c r="EQ220" s="16"/>
      <c r="ER220" s="16"/>
      <c r="ES220" s="16"/>
      <c r="ET220" s="16"/>
      <c r="EU220" s="16"/>
      <c r="EV220" s="16"/>
      <c r="EW220" s="16"/>
      <c r="EX220" s="16"/>
      <c r="EY220" s="16"/>
      <c r="EZ220" s="16"/>
      <c r="FA220" s="16"/>
      <c r="FB220" s="16"/>
    </row>
    <row r="221" spans="1:158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70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25"/>
      <c r="AD221" s="26"/>
      <c r="AE221" s="26"/>
      <c r="AF221" s="26"/>
      <c r="AG221" s="25"/>
      <c r="AH221" s="26"/>
      <c r="AI221" s="26"/>
      <c r="AJ221" s="2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  <c r="EB221" s="16"/>
      <c r="EC221" s="16"/>
      <c r="ED221" s="16"/>
      <c r="EE221" s="16"/>
      <c r="EF221" s="16"/>
      <c r="EG221" s="16"/>
      <c r="EH221" s="16"/>
      <c r="EI221" s="16"/>
      <c r="EJ221" s="16"/>
      <c r="EK221" s="16"/>
      <c r="EL221" s="16"/>
      <c r="EM221" s="16"/>
      <c r="EN221" s="16"/>
      <c r="EO221" s="16"/>
      <c r="EP221" s="16"/>
      <c r="EQ221" s="16"/>
      <c r="ER221" s="16"/>
      <c r="ES221" s="16"/>
      <c r="ET221" s="16"/>
      <c r="EU221" s="16"/>
      <c r="EV221" s="16"/>
      <c r="EW221" s="16"/>
      <c r="EX221" s="16"/>
      <c r="EY221" s="16"/>
      <c r="EZ221" s="16"/>
      <c r="FA221" s="16"/>
      <c r="FB221" s="16"/>
    </row>
    <row r="222" spans="1:158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70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25"/>
      <c r="AD222" s="26"/>
      <c r="AE222" s="26"/>
      <c r="AF222" s="26"/>
      <c r="AG222" s="25"/>
      <c r="AH222" s="26"/>
      <c r="AI222" s="26"/>
      <c r="AJ222" s="2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16"/>
      <c r="EJ222" s="16"/>
      <c r="EK222" s="16"/>
      <c r="EL222" s="16"/>
      <c r="EM222" s="16"/>
      <c r="EN222" s="16"/>
      <c r="EO222" s="16"/>
      <c r="EP222" s="16"/>
      <c r="EQ222" s="16"/>
      <c r="ER222" s="16"/>
      <c r="ES222" s="16"/>
      <c r="ET222" s="16"/>
      <c r="EU222" s="16"/>
      <c r="EV222" s="16"/>
      <c r="EW222" s="16"/>
      <c r="EX222" s="16"/>
      <c r="EY222" s="16"/>
      <c r="EZ222" s="16"/>
      <c r="FA222" s="16"/>
      <c r="FB222" s="16"/>
    </row>
    <row r="223" spans="1:158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70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25"/>
      <c r="AD223" s="26"/>
      <c r="AE223" s="26"/>
      <c r="AF223" s="26"/>
      <c r="AG223" s="25"/>
      <c r="AH223" s="26"/>
      <c r="AI223" s="26"/>
      <c r="AJ223" s="2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  <c r="EB223" s="16"/>
      <c r="EC223" s="16"/>
      <c r="ED223" s="16"/>
      <c r="EE223" s="16"/>
      <c r="EF223" s="16"/>
      <c r="EG223" s="16"/>
      <c r="EH223" s="16"/>
      <c r="EI223" s="16"/>
      <c r="EJ223" s="16"/>
      <c r="EK223" s="16"/>
      <c r="EL223" s="16"/>
      <c r="EM223" s="16"/>
      <c r="EN223" s="16"/>
      <c r="EO223" s="16"/>
      <c r="EP223" s="16"/>
      <c r="EQ223" s="16"/>
      <c r="ER223" s="16"/>
      <c r="ES223" s="16"/>
      <c r="ET223" s="16"/>
      <c r="EU223" s="16"/>
      <c r="EV223" s="16"/>
      <c r="EW223" s="16"/>
      <c r="EX223" s="16"/>
      <c r="EY223" s="16"/>
      <c r="EZ223" s="16"/>
      <c r="FA223" s="16"/>
      <c r="FB223" s="16"/>
    </row>
    <row r="224" spans="1:158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70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25"/>
      <c r="AD224" s="26"/>
      <c r="AE224" s="26"/>
      <c r="AF224" s="26"/>
      <c r="AG224" s="25"/>
      <c r="AH224" s="26"/>
      <c r="AI224" s="26"/>
      <c r="AJ224" s="2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16"/>
      <c r="EJ224" s="16"/>
      <c r="EK224" s="16"/>
      <c r="EL224" s="16"/>
      <c r="EM224" s="16"/>
      <c r="EN224" s="16"/>
      <c r="EO224" s="16"/>
      <c r="EP224" s="16"/>
      <c r="EQ224" s="16"/>
      <c r="ER224" s="16"/>
      <c r="ES224" s="16"/>
      <c r="ET224" s="16"/>
      <c r="EU224" s="16"/>
      <c r="EV224" s="16"/>
      <c r="EW224" s="16"/>
      <c r="EX224" s="16"/>
      <c r="EY224" s="16"/>
      <c r="EZ224" s="16"/>
      <c r="FA224" s="16"/>
      <c r="FB224" s="16"/>
    </row>
    <row r="225" spans="1:158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70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25"/>
      <c r="AD225" s="26"/>
      <c r="AE225" s="26"/>
      <c r="AF225" s="26"/>
      <c r="AG225" s="25"/>
      <c r="AH225" s="26"/>
      <c r="AI225" s="26"/>
      <c r="AJ225" s="2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  <c r="EB225" s="16"/>
      <c r="EC225" s="16"/>
      <c r="ED225" s="16"/>
      <c r="EE225" s="16"/>
      <c r="EF225" s="16"/>
      <c r="EG225" s="16"/>
      <c r="EH225" s="16"/>
      <c r="EI225" s="16"/>
      <c r="EJ225" s="16"/>
      <c r="EK225" s="16"/>
      <c r="EL225" s="16"/>
      <c r="EM225" s="16"/>
      <c r="EN225" s="16"/>
      <c r="EO225" s="16"/>
      <c r="EP225" s="16"/>
      <c r="EQ225" s="16"/>
      <c r="ER225" s="16"/>
      <c r="ES225" s="16"/>
      <c r="ET225" s="16"/>
      <c r="EU225" s="16"/>
      <c r="EV225" s="16"/>
      <c r="EW225" s="16"/>
      <c r="EX225" s="16"/>
      <c r="EY225" s="16"/>
      <c r="EZ225" s="16"/>
      <c r="FA225" s="16"/>
      <c r="FB225" s="16"/>
    </row>
    <row r="226" spans="1:158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70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25"/>
      <c r="AD226" s="26"/>
      <c r="AE226" s="26"/>
      <c r="AF226" s="26"/>
      <c r="AG226" s="25"/>
      <c r="AH226" s="26"/>
      <c r="AI226" s="26"/>
      <c r="AJ226" s="2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16"/>
      <c r="EJ226" s="16"/>
      <c r="EK226" s="16"/>
      <c r="EL226" s="16"/>
      <c r="EM226" s="16"/>
      <c r="EN226" s="16"/>
      <c r="EO226" s="16"/>
      <c r="EP226" s="16"/>
      <c r="EQ226" s="16"/>
      <c r="ER226" s="16"/>
      <c r="ES226" s="16"/>
      <c r="ET226" s="16"/>
      <c r="EU226" s="16"/>
      <c r="EV226" s="16"/>
      <c r="EW226" s="16"/>
      <c r="EX226" s="16"/>
      <c r="EY226" s="16"/>
      <c r="EZ226" s="16"/>
      <c r="FA226" s="16"/>
      <c r="FB226" s="16"/>
    </row>
    <row r="227" spans="1:158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70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25"/>
      <c r="AD227" s="26"/>
      <c r="AE227" s="26"/>
      <c r="AF227" s="26"/>
      <c r="AG227" s="25"/>
      <c r="AH227" s="26"/>
      <c r="AI227" s="26"/>
      <c r="AJ227" s="2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  <c r="EB227" s="16"/>
      <c r="EC227" s="16"/>
      <c r="ED227" s="16"/>
      <c r="EE227" s="16"/>
      <c r="EF227" s="16"/>
      <c r="EG227" s="16"/>
      <c r="EH227" s="16"/>
      <c r="EI227" s="16"/>
      <c r="EJ227" s="16"/>
      <c r="EK227" s="16"/>
      <c r="EL227" s="16"/>
      <c r="EM227" s="16"/>
      <c r="EN227" s="16"/>
      <c r="EO227" s="16"/>
      <c r="EP227" s="16"/>
      <c r="EQ227" s="16"/>
      <c r="ER227" s="16"/>
      <c r="ES227" s="16"/>
      <c r="ET227" s="16"/>
      <c r="EU227" s="16"/>
      <c r="EV227" s="16"/>
      <c r="EW227" s="16"/>
      <c r="EX227" s="16"/>
      <c r="EY227" s="16"/>
      <c r="EZ227" s="16"/>
      <c r="FA227" s="16"/>
      <c r="FB227" s="16"/>
    </row>
    <row r="228" spans="1:158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70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25"/>
      <c r="AD228" s="26"/>
      <c r="AE228" s="26"/>
      <c r="AF228" s="26"/>
      <c r="AG228" s="25"/>
      <c r="AH228" s="26"/>
      <c r="AI228" s="26"/>
      <c r="AJ228" s="2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  <c r="EC228" s="16"/>
      <c r="ED228" s="16"/>
      <c r="EE228" s="16"/>
      <c r="EF228" s="16"/>
      <c r="EG228" s="16"/>
      <c r="EH228" s="16"/>
      <c r="EI228" s="16"/>
      <c r="EJ228" s="16"/>
      <c r="EK228" s="16"/>
      <c r="EL228" s="16"/>
      <c r="EM228" s="16"/>
      <c r="EN228" s="16"/>
      <c r="EO228" s="16"/>
      <c r="EP228" s="16"/>
      <c r="EQ228" s="16"/>
      <c r="ER228" s="16"/>
      <c r="ES228" s="16"/>
      <c r="ET228" s="16"/>
      <c r="EU228" s="16"/>
      <c r="EV228" s="16"/>
      <c r="EW228" s="16"/>
      <c r="EX228" s="16"/>
      <c r="EY228" s="16"/>
      <c r="EZ228" s="16"/>
      <c r="FA228" s="16"/>
      <c r="FB228" s="16"/>
    </row>
    <row r="229" spans="1:158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70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25"/>
      <c r="AD229" s="26"/>
      <c r="AE229" s="26"/>
      <c r="AF229" s="26"/>
      <c r="AG229" s="25"/>
      <c r="AH229" s="26"/>
      <c r="AI229" s="26"/>
      <c r="AJ229" s="2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  <c r="EB229" s="16"/>
      <c r="EC229" s="16"/>
      <c r="ED229" s="16"/>
      <c r="EE229" s="16"/>
      <c r="EF229" s="16"/>
      <c r="EG229" s="16"/>
      <c r="EH229" s="16"/>
      <c r="EI229" s="16"/>
      <c r="EJ229" s="16"/>
      <c r="EK229" s="16"/>
      <c r="EL229" s="16"/>
      <c r="EM229" s="16"/>
      <c r="EN229" s="16"/>
      <c r="EO229" s="16"/>
      <c r="EP229" s="16"/>
      <c r="EQ229" s="16"/>
      <c r="ER229" s="16"/>
      <c r="ES229" s="16"/>
      <c r="ET229" s="16"/>
      <c r="EU229" s="16"/>
      <c r="EV229" s="16"/>
      <c r="EW229" s="16"/>
      <c r="EX229" s="16"/>
      <c r="EY229" s="16"/>
      <c r="EZ229" s="16"/>
      <c r="FA229" s="16"/>
      <c r="FB229" s="16"/>
    </row>
    <row r="230" spans="1:158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70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25"/>
      <c r="AD230" s="26"/>
      <c r="AE230" s="26"/>
      <c r="AF230" s="26"/>
      <c r="AG230" s="25"/>
      <c r="AH230" s="26"/>
      <c r="AI230" s="26"/>
      <c r="AJ230" s="2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16"/>
      <c r="EJ230" s="16"/>
      <c r="EK230" s="16"/>
      <c r="EL230" s="16"/>
      <c r="EM230" s="16"/>
      <c r="EN230" s="16"/>
      <c r="EO230" s="16"/>
      <c r="EP230" s="16"/>
      <c r="EQ230" s="16"/>
      <c r="ER230" s="16"/>
      <c r="ES230" s="16"/>
      <c r="ET230" s="16"/>
      <c r="EU230" s="16"/>
      <c r="EV230" s="16"/>
      <c r="EW230" s="16"/>
      <c r="EX230" s="16"/>
      <c r="EY230" s="16"/>
      <c r="EZ230" s="16"/>
      <c r="FA230" s="16"/>
      <c r="FB230" s="16"/>
    </row>
    <row r="231" spans="1:158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70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25"/>
      <c r="AD231" s="26"/>
      <c r="AE231" s="26"/>
      <c r="AF231" s="26"/>
      <c r="AG231" s="25"/>
      <c r="AH231" s="26"/>
      <c r="AI231" s="26"/>
      <c r="AJ231" s="2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U231" s="16"/>
      <c r="EV231" s="16"/>
      <c r="EW231" s="16"/>
      <c r="EX231" s="16"/>
      <c r="EY231" s="16"/>
      <c r="EZ231" s="16"/>
      <c r="FA231" s="16"/>
      <c r="FB231" s="16"/>
    </row>
    <row r="232" spans="1:158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70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25"/>
      <c r="AD232" s="26"/>
      <c r="AE232" s="26"/>
      <c r="AF232" s="26"/>
      <c r="AG232" s="25"/>
      <c r="AH232" s="26"/>
      <c r="AI232" s="26"/>
      <c r="AJ232" s="2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  <c r="EB232" s="16"/>
      <c r="EC232" s="16"/>
      <c r="ED232" s="16"/>
      <c r="EE232" s="16"/>
      <c r="EF232" s="16"/>
      <c r="EG232" s="16"/>
      <c r="EH232" s="16"/>
      <c r="EI232" s="16"/>
      <c r="EJ232" s="16"/>
      <c r="EK232" s="16"/>
      <c r="EL232" s="16"/>
      <c r="EM232" s="16"/>
      <c r="EN232" s="16"/>
      <c r="EO232" s="16"/>
      <c r="EP232" s="16"/>
      <c r="EQ232" s="16"/>
      <c r="ER232" s="16"/>
      <c r="ES232" s="16"/>
      <c r="ET232" s="16"/>
      <c r="EU232" s="16"/>
      <c r="EV232" s="16"/>
      <c r="EW232" s="16"/>
      <c r="EX232" s="16"/>
      <c r="EY232" s="16"/>
      <c r="EZ232" s="16"/>
      <c r="FA232" s="16"/>
      <c r="FB232" s="16"/>
    </row>
    <row r="233" spans="1:158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70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25"/>
      <c r="AD233" s="26"/>
      <c r="AE233" s="26"/>
      <c r="AF233" s="26"/>
      <c r="AG233" s="25"/>
      <c r="AH233" s="26"/>
      <c r="AI233" s="26"/>
      <c r="AJ233" s="2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U233" s="16"/>
      <c r="EV233" s="16"/>
      <c r="EW233" s="16"/>
      <c r="EX233" s="16"/>
      <c r="EY233" s="16"/>
      <c r="EZ233" s="16"/>
      <c r="FA233" s="16"/>
      <c r="FB233" s="16"/>
    </row>
    <row r="234" spans="1:158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70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25"/>
      <c r="AD234" s="26"/>
      <c r="AE234" s="26"/>
      <c r="AF234" s="26"/>
      <c r="AG234" s="25"/>
      <c r="AH234" s="26"/>
      <c r="AI234" s="26"/>
      <c r="AJ234" s="2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  <c r="EB234" s="16"/>
      <c r="EC234" s="16"/>
      <c r="ED234" s="16"/>
      <c r="EE234" s="16"/>
      <c r="EF234" s="16"/>
      <c r="EG234" s="16"/>
      <c r="EH234" s="16"/>
      <c r="EI234" s="16"/>
      <c r="EJ234" s="16"/>
      <c r="EK234" s="16"/>
      <c r="EL234" s="16"/>
      <c r="EM234" s="16"/>
      <c r="EN234" s="16"/>
      <c r="EO234" s="16"/>
      <c r="EP234" s="16"/>
      <c r="EQ234" s="16"/>
      <c r="ER234" s="16"/>
      <c r="ES234" s="16"/>
      <c r="ET234" s="16"/>
      <c r="EU234" s="16"/>
      <c r="EV234" s="16"/>
      <c r="EW234" s="16"/>
      <c r="EX234" s="16"/>
      <c r="EY234" s="16"/>
      <c r="EZ234" s="16"/>
      <c r="FA234" s="16"/>
      <c r="FB234" s="16"/>
    </row>
    <row r="235" spans="1:158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70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25"/>
      <c r="AD235" s="26"/>
      <c r="AE235" s="26"/>
      <c r="AF235" s="26"/>
      <c r="AG235" s="25"/>
      <c r="AH235" s="26"/>
      <c r="AI235" s="26"/>
      <c r="AJ235" s="2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16"/>
      <c r="EJ235" s="16"/>
      <c r="EK235" s="16"/>
      <c r="EL235" s="16"/>
      <c r="EM235" s="16"/>
      <c r="EN235" s="16"/>
      <c r="EO235" s="16"/>
      <c r="EP235" s="16"/>
      <c r="EQ235" s="16"/>
      <c r="ER235" s="16"/>
      <c r="ES235" s="16"/>
      <c r="ET235" s="16"/>
      <c r="EU235" s="16"/>
      <c r="EV235" s="16"/>
      <c r="EW235" s="16"/>
      <c r="EX235" s="16"/>
      <c r="EY235" s="16"/>
      <c r="EZ235" s="16"/>
      <c r="FA235" s="16"/>
      <c r="FB235" s="16"/>
    </row>
    <row r="236" spans="1:158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70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25"/>
      <c r="AD236" s="26"/>
      <c r="AE236" s="26"/>
      <c r="AF236" s="26"/>
      <c r="AG236" s="25"/>
      <c r="AH236" s="26"/>
      <c r="AI236" s="26"/>
      <c r="AJ236" s="2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  <c r="EB236" s="16"/>
      <c r="EC236" s="16"/>
      <c r="ED236" s="16"/>
      <c r="EE236" s="16"/>
      <c r="EF236" s="16"/>
      <c r="EG236" s="16"/>
      <c r="EH236" s="16"/>
      <c r="EI236" s="16"/>
      <c r="EJ236" s="16"/>
      <c r="EK236" s="16"/>
      <c r="EL236" s="16"/>
      <c r="EM236" s="16"/>
      <c r="EN236" s="16"/>
      <c r="EO236" s="16"/>
      <c r="EP236" s="16"/>
      <c r="EQ236" s="16"/>
      <c r="ER236" s="16"/>
      <c r="ES236" s="16"/>
      <c r="ET236" s="16"/>
      <c r="EU236" s="16"/>
      <c r="EV236" s="16"/>
      <c r="EW236" s="16"/>
      <c r="EX236" s="16"/>
      <c r="EY236" s="16"/>
      <c r="EZ236" s="16"/>
      <c r="FA236" s="16"/>
      <c r="FB236" s="16"/>
    </row>
    <row r="237" spans="1:158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70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25"/>
      <c r="AD237" s="26"/>
      <c r="AE237" s="26"/>
      <c r="AF237" s="26"/>
      <c r="AG237" s="25"/>
      <c r="AH237" s="26"/>
      <c r="AI237" s="26"/>
      <c r="AJ237" s="2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16"/>
      <c r="EJ237" s="16"/>
      <c r="EK237" s="16"/>
      <c r="EL237" s="16"/>
      <c r="EM237" s="16"/>
      <c r="EN237" s="16"/>
      <c r="EO237" s="16"/>
      <c r="EP237" s="16"/>
      <c r="EQ237" s="16"/>
      <c r="ER237" s="16"/>
      <c r="ES237" s="16"/>
      <c r="ET237" s="16"/>
      <c r="EU237" s="16"/>
      <c r="EV237" s="16"/>
      <c r="EW237" s="16"/>
      <c r="EX237" s="16"/>
      <c r="EY237" s="16"/>
      <c r="EZ237" s="16"/>
      <c r="FA237" s="16"/>
      <c r="FB237" s="16"/>
    </row>
    <row r="238" spans="1:158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70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25"/>
      <c r="AD238" s="26"/>
      <c r="AE238" s="26"/>
      <c r="AF238" s="26"/>
      <c r="AG238" s="25"/>
      <c r="AH238" s="26"/>
      <c r="AI238" s="26"/>
      <c r="AJ238" s="2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  <c r="EB238" s="16"/>
      <c r="EC238" s="16"/>
      <c r="ED238" s="16"/>
      <c r="EE238" s="16"/>
      <c r="EF238" s="16"/>
      <c r="EG238" s="16"/>
      <c r="EH238" s="16"/>
      <c r="EI238" s="16"/>
      <c r="EJ238" s="16"/>
      <c r="EK238" s="16"/>
      <c r="EL238" s="16"/>
      <c r="EM238" s="16"/>
      <c r="EN238" s="16"/>
      <c r="EO238" s="16"/>
      <c r="EP238" s="16"/>
      <c r="EQ238" s="16"/>
      <c r="ER238" s="16"/>
      <c r="ES238" s="16"/>
      <c r="ET238" s="16"/>
      <c r="EU238" s="16"/>
      <c r="EV238" s="16"/>
      <c r="EW238" s="16"/>
      <c r="EX238" s="16"/>
      <c r="EY238" s="16"/>
      <c r="EZ238" s="16"/>
      <c r="FA238" s="16"/>
      <c r="FB238" s="16"/>
    </row>
    <row r="239" spans="1:158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70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25"/>
      <c r="AD239" s="26"/>
      <c r="AE239" s="26"/>
      <c r="AF239" s="26"/>
      <c r="AG239" s="25"/>
      <c r="AH239" s="26"/>
      <c r="AI239" s="26"/>
      <c r="AJ239" s="2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  <c r="EC239" s="16"/>
      <c r="ED239" s="16"/>
      <c r="EE239" s="16"/>
      <c r="EF239" s="16"/>
      <c r="EG239" s="16"/>
      <c r="EH239" s="16"/>
      <c r="EI239" s="16"/>
      <c r="EJ239" s="16"/>
      <c r="EK239" s="16"/>
      <c r="EL239" s="16"/>
      <c r="EM239" s="16"/>
      <c r="EN239" s="16"/>
      <c r="EO239" s="16"/>
      <c r="EP239" s="16"/>
      <c r="EQ239" s="16"/>
      <c r="ER239" s="16"/>
      <c r="ES239" s="16"/>
      <c r="ET239" s="16"/>
      <c r="EU239" s="16"/>
      <c r="EV239" s="16"/>
      <c r="EW239" s="16"/>
      <c r="EX239" s="16"/>
      <c r="EY239" s="16"/>
      <c r="EZ239" s="16"/>
      <c r="FA239" s="16"/>
      <c r="FB239" s="16"/>
    </row>
    <row r="240" spans="1:158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70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25"/>
      <c r="AD240" s="26"/>
      <c r="AE240" s="26"/>
      <c r="AF240" s="26"/>
      <c r="AG240" s="25"/>
      <c r="AH240" s="26"/>
      <c r="AI240" s="26"/>
      <c r="AJ240" s="2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  <c r="EB240" s="16"/>
      <c r="EC240" s="16"/>
      <c r="ED240" s="16"/>
      <c r="EE240" s="16"/>
      <c r="EF240" s="16"/>
      <c r="EG240" s="16"/>
      <c r="EH240" s="16"/>
      <c r="EI240" s="16"/>
      <c r="EJ240" s="16"/>
      <c r="EK240" s="16"/>
      <c r="EL240" s="16"/>
      <c r="EM240" s="16"/>
      <c r="EN240" s="16"/>
      <c r="EO240" s="16"/>
      <c r="EP240" s="16"/>
      <c r="EQ240" s="16"/>
      <c r="ER240" s="16"/>
      <c r="ES240" s="16"/>
      <c r="ET240" s="16"/>
      <c r="EU240" s="16"/>
      <c r="EV240" s="16"/>
      <c r="EW240" s="16"/>
      <c r="EX240" s="16"/>
      <c r="EY240" s="16"/>
      <c r="EZ240" s="16"/>
      <c r="FA240" s="16"/>
      <c r="FB240" s="16"/>
    </row>
    <row r="241" spans="1:158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70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25"/>
      <c r="AD241" s="26"/>
      <c r="AE241" s="26"/>
      <c r="AF241" s="26"/>
      <c r="AG241" s="25"/>
      <c r="AH241" s="26"/>
      <c r="AI241" s="26"/>
      <c r="AJ241" s="2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16"/>
      <c r="EJ241" s="16"/>
      <c r="EK241" s="16"/>
      <c r="EL241" s="16"/>
      <c r="EM241" s="16"/>
      <c r="EN241" s="16"/>
      <c r="EO241" s="16"/>
      <c r="EP241" s="16"/>
      <c r="EQ241" s="16"/>
      <c r="ER241" s="16"/>
      <c r="ES241" s="16"/>
      <c r="ET241" s="16"/>
      <c r="EU241" s="16"/>
      <c r="EV241" s="16"/>
      <c r="EW241" s="16"/>
      <c r="EX241" s="16"/>
      <c r="EY241" s="16"/>
      <c r="EZ241" s="16"/>
      <c r="FA241" s="16"/>
      <c r="FB241" s="16"/>
    </row>
    <row r="242" spans="1:158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70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25"/>
      <c r="AD242" s="26"/>
      <c r="AE242" s="26"/>
      <c r="AF242" s="26"/>
      <c r="AG242" s="25"/>
      <c r="AH242" s="26"/>
      <c r="AI242" s="26"/>
      <c r="AJ242" s="2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  <c r="EB242" s="16"/>
      <c r="EC242" s="16"/>
      <c r="ED242" s="16"/>
      <c r="EE242" s="16"/>
      <c r="EF242" s="16"/>
      <c r="EG242" s="16"/>
      <c r="EH242" s="16"/>
      <c r="EI242" s="16"/>
      <c r="EJ242" s="16"/>
      <c r="EK242" s="16"/>
      <c r="EL242" s="16"/>
      <c r="EM242" s="16"/>
      <c r="EN242" s="16"/>
      <c r="EO242" s="16"/>
      <c r="EP242" s="16"/>
      <c r="EQ242" s="16"/>
      <c r="ER242" s="16"/>
      <c r="ES242" s="16"/>
      <c r="ET242" s="16"/>
      <c r="EU242" s="16"/>
      <c r="EV242" s="16"/>
      <c r="EW242" s="16"/>
      <c r="EX242" s="16"/>
      <c r="EY242" s="16"/>
      <c r="EZ242" s="16"/>
      <c r="FA242" s="16"/>
      <c r="FB242" s="16"/>
    </row>
    <row r="243" spans="1:158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70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25"/>
      <c r="AD243" s="26"/>
      <c r="AE243" s="26"/>
      <c r="AF243" s="26"/>
      <c r="AG243" s="25"/>
      <c r="AH243" s="26"/>
      <c r="AI243" s="26"/>
      <c r="AJ243" s="2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16"/>
      <c r="EN243" s="16"/>
      <c r="EO243" s="16"/>
      <c r="EP243" s="16"/>
      <c r="EQ243" s="16"/>
      <c r="ER243" s="16"/>
      <c r="ES243" s="16"/>
      <c r="ET243" s="16"/>
      <c r="EU243" s="16"/>
      <c r="EV243" s="16"/>
      <c r="EW243" s="16"/>
      <c r="EX243" s="16"/>
      <c r="EY243" s="16"/>
      <c r="EZ243" s="16"/>
      <c r="FA243" s="16"/>
      <c r="FB243" s="16"/>
    </row>
    <row r="244" spans="1:158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70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25"/>
      <c r="AD244" s="26"/>
      <c r="AE244" s="26"/>
      <c r="AF244" s="26"/>
      <c r="AG244" s="25"/>
      <c r="AH244" s="26"/>
      <c r="AI244" s="26"/>
      <c r="AJ244" s="2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  <c r="EC244" s="16"/>
      <c r="ED244" s="16"/>
      <c r="EE244" s="16"/>
      <c r="EF244" s="16"/>
      <c r="EG244" s="16"/>
      <c r="EH244" s="16"/>
      <c r="EI244" s="16"/>
      <c r="EJ244" s="16"/>
      <c r="EK244" s="16"/>
      <c r="EL244" s="16"/>
      <c r="EM244" s="16"/>
      <c r="EN244" s="16"/>
      <c r="EO244" s="16"/>
      <c r="EP244" s="16"/>
      <c r="EQ244" s="16"/>
      <c r="ER244" s="16"/>
      <c r="ES244" s="16"/>
      <c r="ET244" s="16"/>
      <c r="EU244" s="16"/>
      <c r="EV244" s="16"/>
      <c r="EW244" s="16"/>
      <c r="EX244" s="16"/>
      <c r="EY244" s="16"/>
      <c r="EZ244" s="16"/>
      <c r="FA244" s="16"/>
      <c r="FB244" s="16"/>
    </row>
    <row r="245" spans="1:158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70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25"/>
      <c r="AD245" s="26"/>
      <c r="AE245" s="26"/>
      <c r="AF245" s="26"/>
      <c r="AG245" s="25"/>
      <c r="AH245" s="26"/>
      <c r="AI245" s="26"/>
      <c r="AJ245" s="2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16"/>
      <c r="EM245" s="16"/>
      <c r="EN245" s="16"/>
      <c r="EO245" s="16"/>
      <c r="EP245" s="16"/>
      <c r="EQ245" s="16"/>
      <c r="ER245" s="16"/>
      <c r="ES245" s="16"/>
      <c r="ET245" s="16"/>
      <c r="EU245" s="16"/>
      <c r="EV245" s="16"/>
      <c r="EW245" s="16"/>
      <c r="EX245" s="16"/>
      <c r="EY245" s="16"/>
      <c r="EZ245" s="16"/>
      <c r="FA245" s="16"/>
      <c r="FB245" s="16"/>
    </row>
    <row r="246" spans="1:158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70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25"/>
      <c r="AD246" s="26"/>
      <c r="AE246" s="26"/>
      <c r="AF246" s="26"/>
      <c r="AG246" s="25"/>
      <c r="AH246" s="26"/>
      <c r="AI246" s="26"/>
      <c r="AJ246" s="2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  <c r="EB246" s="16"/>
      <c r="EC246" s="16"/>
      <c r="ED246" s="16"/>
      <c r="EE246" s="16"/>
      <c r="EF246" s="16"/>
      <c r="EG246" s="16"/>
      <c r="EH246" s="16"/>
      <c r="EI246" s="16"/>
      <c r="EJ246" s="16"/>
      <c r="EK246" s="16"/>
      <c r="EL246" s="16"/>
      <c r="EM246" s="16"/>
      <c r="EN246" s="16"/>
      <c r="EO246" s="16"/>
      <c r="EP246" s="16"/>
      <c r="EQ246" s="16"/>
      <c r="ER246" s="16"/>
      <c r="ES246" s="16"/>
      <c r="ET246" s="16"/>
      <c r="EU246" s="16"/>
      <c r="EV246" s="16"/>
      <c r="EW246" s="16"/>
      <c r="EX246" s="16"/>
      <c r="EY246" s="16"/>
      <c r="EZ246" s="16"/>
      <c r="FA246" s="16"/>
      <c r="FB246" s="16"/>
    </row>
    <row r="247" spans="1:158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70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25"/>
      <c r="AD247" s="26"/>
      <c r="AE247" s="26"/>
      <c r="AF247" s="26"/>
      <c r="AG247" s="25"/>
      <c r="AH247" s="26"/>
      <c r="AI247" s="26"/>
      <c r="AJ247" s="2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  <c r="EC247" s="16"/>
      <c r="ED247" s="16"/>
      <c r="EE247" s="16"/>
      <c r="EF247" s="16"/>
      <c r="EG247" s="16"/>
      <c r="EH247" s="16"/>
      <c r="EI247" s="16"/>
      <c r="EJ247" s="16"/>
      <c r="EK247" s="16"/>
      <c r="EL247" s="16"/>
      <c r="EM247" s="16"/>
      <c r="EN247" s="16"/>
      <c r="EO247" s="16"/>
      <c r="EP247" s="16"/>
      <c r="EQ247" s="16"/>
      <c r="ER247" s="16"/>
      <c r="ES247" s="16"/>
      <c r="ET247" s="16"/>
      <c r="EU247" s="16"/>
      <c r="EV247" s="16"/>
      <c r="EW247" s="16"/>
      <c r="EX247" s="16"/>
      <c r="EY247" s="16"/>
      <c r="EZ247" s="16"/>
      <c r="FA247" s="16"/>
      <c r="FB247" s="16"/>
    </row>
    <row r="248" spans="1:158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70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25"/>
      <c r="AD248" s="26"/>
      <c r="AE248" s="26"/>
      <c r="AF248" s="26"/>
      <c r="AG248" s="25"/>
      <c r="AH248" s="26"/>
      <c r="AI248" s="26"/>
      <c r="AJ248" s="2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</row>
    <row r="249" spans="1:158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70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25"/>
      <c r="AD249" s="26"/>
      <c r="AE249" s="26"/>
      <c r="AF249" s="26"/>
      <c r="AG249" s="25"/>
      <c r="AH249" s="26"/>
      <c r="AI249" s="26"/>
      <c r="AJ249" s="2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  <c r="EB249" s="16"/>
      <c r="EC249" s="16"/>
      <c r="ED249" s="16"/>
      <c r="EE249" s="16"/>
      <c r="EF249" s="16"/>
      <c r="EG249" s="16"/>
      <c r="EH249" s="16"/>
      <c r="EI249" s="16"/>
      <c r="EJ249" s="16"/>
      <c r="EK249" s="16"/>
      <c r="EL249" s="16"/>
      <c r="EM249" s="16"/>
      <c r="EN249" s="16"/>
      <c r="EO249" s="16"/>
      <c r="EP249" s="16"/>
      <c r="EQ249" s="16"/>
      <c r="ER249" s="16"/>
      <c r="ES249" s="16"/>
      <c r="ET249" s="16"/>
      <c r="EU249" s="16"/>
      <c r="EV249" s="16"/>
      <c r="EW249" s="16"/>
      <c r="EX249" s="16"/>
      <c r="EY249" s="16"/>
      <c r="EZ249" s="16"/>
      <c r="FA249" s="16"/>
      <c r="FB249" s="16"/>
    </row>
    <row r="250" spans="1:158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70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25"/>
      <c r="AD250" s="26"/>
      <c r="AE250" s="26"/>
      <c r="AF250" s="26"/>
      <c r="AG250" s="25"/>
      <c r="AH250" s="26"/>
      <c r="AI250" s="26"/>
      <c r="AJ250" s="2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16"/>
      <c r="ET250" s="16"/>
      <c r="EU250" s="16"/>
      <c r="EV250" s="16"/>
      <c r="EW250" s="16"/>
      <c r="EX250" s="16"/>
      <c r="EY250" s="16"/>
      <c r="EZ250" s="16"/>
      <c r="FA250" s="16"/>
      <c r="FB250" s="16"/>
    </row>
    <row r="251" spans="1:158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70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25"/>
      <c r="AD251" s="26"/>
      <c r="AE251" s="26"/>
      <c r="AF251" s="26"/>
      <c r="AG251" s="25"/>
      <c r="AH251" s="26"/>
      <c r="AI251" s="26"/>
      <c r="AJ251" s="2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  <c r="EC251" s="16"/>
      <c r="ED251" s="16"/>
      <c r="EE251" s="16"/>
      <c r="EF251" s="16"/>
      <c r="EG251" s="16"/>
      <c r="EH251" s="16"/>
      <c r="EI251" s="16"/>
      <c r="EJ251" s="16"/>
      <c r="EK251" s="16"/>
      <c r="EL251" s="16"/>
      <c r="EM251" s="16"/>
      <c r="EN251" s="16"/>
      <c r="EO251" s="16"/>
      <c r="EP251" s="16"/>
      <c r="EQ251" s="16"/>
      <c r="ER251" s="16"/>
      <c r="ES251" s="16"/>
      <c r="ET251" s="16"/>
      <c r="EU251" s="16"/>
      <c r="EV251" s="16"/>
      <c r="EW251" s="16"/>
      <c r="EX251" s="16"/>
      <c r="EY251" s="16"/>
      <c r="EZ251" s="16"/>
      <c r="FA251" s="16"/>
      <c r="FB251" s="16"/>
    </row>
    <row r="252" spans="1:158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70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25"/>
      <c r="AD252" s="26"/>
      <c r="AE252" s="26"/>
      <c r="AF252" s="26"/>
      <c r="AG252" s="25"/>
      <c r="AH252" s="26"/>
      <c r="AI252" s="26"/>
      <c r="AJ252" s="2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</row>
    <row r="253" spans="1:158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70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25"/>
      <c r="AD253" s="26"/>
      <c r="AE253" s="26"/>
      <c r="AF253" s="26"/>
      <c r="AG253" s="25"/>
      <c r="AH253" s="26"/>
      <c r="AI253" s="26"/>
      <c r="AJ253" s="2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  <c r="EB253" s="16"/>
      <c r="EC253" s="16"/>
      <c r="ED253" s="16"/>
      <c r="EE253" s="16"/>
      <c r="EF253" s="16"/>
      <c r="EG253" s="16"/>
      <c r="EH253" s="16"/>
      <c r="EI253" s="16"/>
      <c r="EJ253" s="16"/>
      <c r="EK253" s="16"/>
      <c r="EL253" s="16"/>
      <c r="EM253" s="16"/>
      <c r="EN253" s="16"/>
      <c r="EO253" s="16"/>
      <c r="EP253" s="16"/>
      <c r="EQ253" s="16"/>
      <c r="ER253" s="16"/>
      <c r="ES253" s="16"/>
      <c r="ET253" s="16"/>
      <c r="EU253" s="16"/>
      <c r="EV253" s="16"/>
      <c r="EW253" s="16"/>
      <c r="EX253" s="16"/>
      <c r="EY253" s="16"/>
      <c r="EZ253" s="16"/>
      <c r="FA253" s="16"/>
      <c r="FB253" s="16"/>
    </row>
    <row r="254" spans="1:158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70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25"/>
      <c r="AD254" s="26"/>
      <c r="AE254" s="26"/>
      <c r="AF254" s="26"/>
      <c r="AG254" s="25"/>
      <c r="AH254" s="26"/>
      <c r="AI254" s="26"/>
      <c r="AJ254" s="2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16"/>
      <c r="ET254" s="16"/>
      <c r="EU254" s="16"/>
      <c r="EV254" s="16"/>
      <c r="EW254" s="16"/>
      <c r="EX254" s="16"/>
      <c r="EY254" s="16"/>
      <c r="EZ254" s="16"/>
      <c r="FA254" s="16"/>
      <c r="FB254" s="16"/>
    </row>
    <row r="255" spans="1:158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70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25"/>
      <c r="AD255" s="26"/>
      <c r="AE255" s="26"/>
      <c r="AF255" s="26"/>
      <c r="AG255" s="25"/>
      <c r="AH255" s="26"/>
      <c r="AI255" s="26"/>
      <c r="AJ255" s="2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16"/>
      <c r="EJ255" s="16"/>
      <c r="EK255" s="16"/>
      <c r="EL255" s="16"/>
      <c r="EM255" s="16"/>
      <c r="EN255" s="16"/>
      <c r="EO255" s="16"/>
      <c r="EP255" s="16"/>
      <c r="EQ255" s="16"/>
      <c r="ER255" s="16"/>
      <c r="ES255" s="16"/>
      <c r="ET255" s="16"/>
      <c r="EU255" s="16"/>
      <c r="EV255" s="16"/>
      <c r="EW255" s="16"/>
      <c r="EX255" s="16"/>
      <c r="EY255" s="16"/>
      <c r="EZ255" s="16"/>
      <c r="FA255" s="16"/>
      <c r="FB255" s="16"/>
    </row>
    <row r="256" spans="1:158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70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25"/>
      <c r="AD256" s="26"/>
      <c r="AE256" s="26"/>
      <c r="AF256" s="26"/>
      <c r="AG256" s="25"/>
      <c r="AH256" s="26"/>
      <c r="AI256" s="26"/>
      <c r="AJ256" s="2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</row>
    <row r="257" spans="1:158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70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25"/>
      <c r="AD257" s="26"/>
      <c r="AE257" s="26"/>
      <c r="AF257" s="26"/>
      <c r="AG257" s="25"/>
      <c r="AH257" s="26"/>
      <c r="AI257" s="26"/>
      <c r="AJ257" s="2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16"/>
      <c r="EJ257" s="16"/>
      <c r="EK257" s="16"/>
      <c r="EL257" s="16"/>
      <c r="EM257" s="16"/>
      <c r="EN257" s="16"/>
      <c r="EO257" s="16"/>
      <c r="EP257" s="16"/>
      <c r="EQ257" s="16"/>
      <c r="ER257" s="16"/>
      <c r="ES257" s="16"/>
      <c r="ET257" s="16"/>
      <c r="EU257" s="16"/>
      <c r="EV257" s="16"/>
      <c r="EW257" s="16"/>
      <c r="EX257" s="16"/>
      <c r="EY257" s="16"/>
      <c r="EZ257" s="16"/>
      <c r="FA257" s="16"/>
      <c r="FB257" s="16"/>
    </row>
    <row r="258" spans="1:158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70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25"/>
      <c r="AD258" s="26"/>
      <c r="AE258" s="26"/>
      <c r="AF258" s="26"/>
      <c r="AG258" s="25"/>
      <c r="AH258" s="26"/>
      <c r="AI258" s="26"/>
      <c r="AJ258" s="2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  <c r="EC258" s="16"/>
      <c r="ED258" s="16"/>
      <c r="EE258" s="16"/>
      <c r="EF258" s="16"/>
      <c r="EG258" s="16"/>
      <c r="EH258" s="16"/>
      <c r="EI258" s="16"/>
      <c r="EJ258" s="16"/>
      <c r="EK258" s="16"/>
      <c r="EL258" s="16"/>
      <c r="EM258" s="16"/>
      <c r="EN258" s="16"/>
      <c r="EO258" s="16"/>
      <c r="EP258" s="16"/>
      <c r="EQ258" s="16"/>
      <c r="ER258" s="16"/>
      <c r="ES258" s="16"/>
      <c r="ET258" s="16"/>
      <c r="EU258" s="16"/>
      <c r="EV258" s="16"/>
      <c r="EW258" s="16"/>
      <c r="EX258" s="16"/>
      <c r="EY258" s="16"/>
      <c r="EZ258" s="16"/>
      <c r="FA258" s="16"/>
      <c r="FB258" s="16"/>
    </row>
    <row r="259" spans="1:158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70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25"/>
      <c r="AD259" s="26"/>
      <c r="AE259" s="26"/>
      <c r="AF259" s="26"/>
      <c r="AG259" s="25"/>
      <c r="AH259" s="26"/>
      <c r="AI259" s="26"/>
      <c r="AJ259" s="2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16"/>
      <c r="EY259" s="16"/>
      <c r="EZ259" s="16"/>
      <c r="FA259" s="16"/>
      <c r="FB259" s="16"/>
    </row>
    <row r="260" spans="1:158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70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25"/>
      <c r="AD260" s="26"/>
      <c r="AE260" s="26"/>
      <c r="AF260" s="26"/>
      <c r="AG260" s="25"/>
      <c r="AH260" s="26"/>
      <c r="AI260" s="26"/>
      <c r="AJ260" s="2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16"/>
      <c r="EJ260" s="16"/>
      <c r="EK260" s="16"/>
      <c r="EL260" s="16"/>
      <c r="EM260" s="16"/>
      <c r="EN260" s="16"/>
      <c r="EO260" s="16"/>
      <c r="EP260" s="16"/>
      <c r="EQ260" s="16"/>
      <c r="ER260" s="16"/>
      <c r="ES260" s="16"/>
      <c r="ET260" s="16"/>
      <c r="EU260" s="16"/>
      <c r="EV260" s="16"/>
      <c r="EW260" s="16"/>
      <c r="EX260" s="16"/>
      <c r="EY260" s="16"/>
      <c r="EZ260" s="16"/>
      <c r="FA260" s="16"/>
      <c r="FB260" s="16"/>
    </row>
    <row r="261" spans="1:158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70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25"/>
      <c r="AD261" s="26"/>
      <c r="AE261" s="26"/>
      <c r="AF261" s="26"/>
      <c r="AG261" s="25"/>
      <c r="AH261" s="26"/>
      <c r="AI261" s="26"/>
      <c r="AJ261" s="2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</row>
    <row r="262" spans="1:158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70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25"/>
      <c r="AD262" s="26"/>
      <c r="AE262" s="26"/>
      <c r="AF262" s="26"/>
      <c r="AG262" s="25"/>
      <c r="AH262" s="26"/>
      <c r="AI262" s="26"/>
      <c r="AJ262" s="2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16"/>
      <c r="EJ262" s="16"/>
      <c r="EK262" s="16"/>
      <c r="EL262" s="16"/>
      <c r="EM262" s="16"/>
      <c r="EN262" s="16"/>
      <c r="EO262" s="16"/>
      <c r="EP262" s="16"/>
      <c r="EQ262" s="16"/>
      <c r="ER262" s="16"/>
      <c r="ES262" s="16"/>
      <c r="ET262" s="16"/>
      <c r="EU262" s="16"/>
      <c r="EV262" s="16"/>
      <c r="EW262" s="16"/>
      <c r="EX262" s="16"/>
      <c r="EY262" s="16"/>
      <c r="EZ262" s="16"/>
      <c r="FA262" s="16"/>
      <c r="FB262" s="16"/>
    </row>
    <row r="263" spans="1:158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70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25"/>
      <c r="AD263" s="26"/>
      <c r="AE263" s="26"/>
      <c r="AF263" s="26"/>
      <c r="AG263" s="25"/>
      <c r="AH263" s="26"/>
      <c r="AI263" s="26"/>
      <c r="AJ263" s="2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16"/>
      <c r="FB263" s="16"/>
    </row>
    <row r="264" spans="1:158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70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25"/>
      <c r="AD264" s="26"/>
      <c r="AE264" s="26"/>
      <c r="AF264" s="26"/>
      <c r="AG264" s="25"/>
      <c r="AH264" s="26"/>
      <c r="AI264" s="26"/>
      <c r="AJ264" s="2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16"/>
      <c r="EJ264" s="16"/>
      <c r="EK264" s="16"/>
      <c r="EL264" s="16"/>
      <c r="EM264" s="16"/>
      <c r="EN264" s="16"/>
      <c r="EO264" s="16"/>
      <c r="EP264" s="16"/>
      <c r="EQ264" s="16"/>
      <c r="ER264" s="16"/>
      <c r="ES264" s="16"/>
      <c r="ET264" s="16"/>
      <c r="EU264" s="16"/>
      <c r="EV264" s="16"/>
      <c r="EW264" s="16"/>
      <c r="EX264" s="16"/>
      <c r="EY264" s="16"/>
      <c r="EZ264" s="16"/>
      <c r="FA264" s="16"/>
      <c r="FB264" s="16"/>
    </row>
    <row r="265" spans="1:158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70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25"/>
      <c r="AD265" s="26"/>
      <c r="AE265" s="26"/>
      <c r="AF265" s="26"/>
      <c r="AG265" s="25"/>
      <c r="AH265" s="26"/>
      <c r="AI265" s="26"/>
      <c r="AJ265" s="2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16"/>
    </row>
    <row r="266" spans="1:158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70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25"/>
      <c r="AD266" s="26"/>
      <c r="AE266" s="26"/>
      <c r="AF266" s="26"/>
      <c r="AG266" s="25"/>
      <c r="AH266" s="26"/>
      <c r="AI266" s="26"/>
      <c r="AJ266" s="2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16"/>
      <c r="EJ266" s="16"/>
      <c r="EK266" s="16"/>
      <c r="EL266" s="16"/>
      <c r="EM266" s="16"/>
      <c r="EN266" s="16"/>
      <c r="EO266" s="16"/>
      <c r="EP266" s="16"/>
      <c r="EQ266" s="16"/>
      <c r="ER266" s="16"/>
      <c r="ES266" s="16"/>
      <c r="ET266" s="16"/>
      <c r="EU266" s="16"/>
      <c r="EV266" s="16"/>
      <c r="EW266" s="16"/>
      <c r="EX266" s="16"/>
      <c r="EY266" s="16"/>
      <c r="EZ266" s="16"/>
      <c r="FA266" s="16"/>
      <c r="FB266" s="16"/>
    </row>
    <row r="267" spans="1:158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70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25"/>
      <c r="AD267" s="26"/>
      <c r="AE267" s="26"/>
      <c r="AF267" s="26"/>
      <c r="AG267" s="25"/>
      <c r="AH267" s="26"/>
      <c r="AI267" s="26"/>
      <c r="AJ267" s="2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</row>
    <row r="268" spans="1:158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70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25"/>
      <c r="AD268" s="26"/>
      <c r="AE268" s="26"/>
      <c r="AF268" s="26"/>
      <c r="AG268" s="25"/>
      <c r="AH268" s="26"/>
      <c r="AI268" s="26"/>
      <c r="AJ268" s="2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  <c r="EC268" s="16"/>
      <c r="ED268" s="16"/>
      <c r="EE268" s="16"/>
      <c r="EF268" s="16"/>
      <c r="EG268" s="16"/>
      <c r="EH268" s="16"/>
      <c r="EI268" s="16"/>
      <c r="EJ268" s="16"/>
      <c r="EK268" s="16"/>
      <c r="EL268" s="16"/>
      <c r="EM268" s="16"/>
      <c r="EN268" s="16"/>
      <c r="EO268" s="16"/>
      <c r="EP268" s="16"/>
      <c r="EQ268" s="16"/>
      <c r="ER268" s="16"/>
      <c r="ES268" s="16"/>
      <c r="ET268" s="16"/>
      <c r="EU268" s="16"/>
      <c r="EV268" s="16"/>
      <c r="EW268" s="16"/>
      <c r="EX268" s="16"/>
      <c r="EY268" s="16"/>
      <c r="EZ268" s="16"/>
      <c r="FA268" s="16"/>
      <c r="FB268" s="16"/>
    </row>
    <row r="269" spans="1:158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70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25"/>
      <c r="AD269" s="26"/>
      <c r="AE269" s="26"/>
      <c r="AF269" s="26"/>
      <c r="AG269" s="25"/>
      <c r="AH269" s="26"/>
      <c r="AI269" s="26"/>
      <c r="AJ269" s="2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</row>
    <row r="270" spans="1:158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70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25"/>
      <c r="AD270" s="26"/>
      <c r="AE270" s="26"/>
      <c r="AF270" s="26"/>
      <c r="AG270" s="25"/>
      <c r="AH270" s="26"/>
      <c r="AI270" s="26"/>
      <c r="AJ270" s="2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16"/>
      <c r="EF270" s="16"/>
      <c r="EG270" s="16"/>
      <c r="EH270" s="16"/>
      <c r="EI270" s="16"/>
      <c r="EJ270" s="16"/>
      <c r="EK270" s="16"/>
      <c r="EL270" s="16"/>
      <c r="EM270" s="16"/>
      <c r="EN270" s="16"/>
      <c r="EO270" s="16"/>
      <c r="EP270" s="16"/>
      <c r="EQ270" s="16"/>
      <c r="ER270" s="16"/>
      <c r="ES270" s="16"/>
      <c r="ET270" s="16"/>
      <c r="EU270" s="16"/>
      <c r="EV270" s="16"/>
      <c r="EW270" s="16"/>
      <c r="EX270" s="16"/>
      <c r="EY270" s="16"/>
      <c r="EZ270" s="16"/>
      <c r="FA270" s="16"/>
      <c r="FB270" s="16"/>
    </row>
    <row r="271" spans="1:158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70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25"/>
      <c r="AD271" s="26"/>
      <c r="AE271" s="26"/>
      <c r="AF271" s="26"/>
      <c r="AG271" s="25"/>
      <c r="AH271" s="26"/>
      <c r="AI271" s="26"/>
      <c r="AJ271" s="2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</row>
    <row r="272" spans="1:158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70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25"/>
      <c r="AD272" s="26"/>
      <c r="AE272" s="26"/>
      <c r="AF272" s="26"/>
      <c r="AG272" s="25"/>
      <c r="AH272" s="26"/>
      <c r="AI272" s="26"/>
      <c r="AJ272" s="2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  <c r="EB272" s="16"/>
      <c r="EC272" s="16"/>
      <c r="ED272" s="16"/>
      <c r="EE272" s="16"/>
      <c r="EF272" s="16"/>
      <c r="EG272" s="16"/>
      <c r="EH272" s="16"/>
      <c r="EI272" s="16"/>
      <c r="EJ272" s="16"/>
      <c r="EK272" s="16"/>
      <c r="EL272" s="16"/>
      <c r="EM272" s="16"/>
      <c r="EN272" s="16"/>
      <c r="EO272" s="16"/>
      <c r="EP272" s="16"/>
      <c r="EQ272" s="16"/>
      <c r="ER272" s="16"/>
      <c r="ES272" s="16"/>
      <c r="ET272" s="16"/>
      <c r="EU272" s="16"/>
      <c r="EV272" s="16"/>
      <c r="EW272" s="16"/>
      <c r="EX272" s="16"/>
      <c r="EY272" s="16"/>
      <c r="EZ272" s="16"/>
      <c r="FA272" s="16"/>
      <c r="FB272" s="16"/>
    </row>
    <row r="273" spans="1:158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70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25"/>
      <c r="AD273" s="26"/>
      <c r="AE273" s="26"/>
      <c r="AF273" s="26"/>
      <c r="AG273" s="25"/>
      <c r="AH273" s="26"/>
      <c r="AI273" s="26"/>
      <c r="AJ273" s="2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6"/>
    </row>
    <row r="274" spans="1:158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70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25"/>
      <c r="AD274" s="26"/>
      <c r="AE274" s="26"/>
      <c r="AF274" s="26"/>
      <c r="AG274" s="25"/>
      <c r="AH274" s="26"/>
      <c r="AI274" s="26"/>
      <c r="AJ274" s="2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  <c r="EB274" s="16"/>
      <c r="EC274" s="16"/>
      <c r="ED274" s="16"/>
      <c r="EE274" s="16"/>
      <c r="EF274" s="16"/>
      <c r="EG274" s="16"/>
      <c r="EH274" s="16"/>
      <c r="EI274" s="16"/>
      <c r="EJ274" s="16"/>
      <c r="EK274" s="16"/>
      <c r="EL274" s="16"/>
      <c r="EM274" s="16"/>
      <c r="EN274" s="16"/>
      <c r="EO274" s="16"/>
      <c r="EP274" s="16"/>
      <c r="EQ274" s="16"/>
      <c r="ER274" s="16"/>
      <c r="ES274" s="16"/>
      <c r="ET274" s="16"/>
      <c r="EU274" s="16"/>
      <c r="EV274" s="16"/>
      <c r="EW274" s="16"/>
      <c r="EX274" s="16"/>
      <c r="EY274" s="16"/>
      <c r="EZ274" s="16"/>
      <c r="FA274" s="16"/>
      <c r="FB274" s="16"/>
    </row>
    <row r="275" spans="1:158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70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25"/>
      <c r="AD275" s="26"/>
      <c r="AE275" s="26"/>
      <c r="AF275" s="26"/>
      <c r="AG275" s="25"/>
      <c r="AH275" s="26"/>
      <c r="AI275" s="26"/>
      <c r="AJ275" s="2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</row>
    <row r="276" spans="1:158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70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25"/>
      <c r="AD276" s="26"/>
      <c r="AE276" s="26"/>
      <c r="AF276" s="26"/>
      <c r="AG276" s="25"/>
      <c r="AH276" s="26"/>
      <c r="AI276" s="26"/>
      <c r="AJ276" s="2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  <c r="EB276" s="16"/>
      <c r="EC276" s="16"/>
      <c r="ED276" s="16"/>
      <c r="EE276" s="16"/>
      <c r="EF276" s="16"/>
      <c r="EG276" s="16"/>
      <c r="EH276" s="16"/>
      <c r="EI276" s="16"/>
      <c r="EJ276" s="16"/>
      <c r="EK276" s="16"/>
      <c r="EL276" s="16"/>
      <c r="EM276" s="16"/>
      <c r="EN276" s="16"/>
      <c r="EO276" s="16"/>
      <c r="EP276" s="16"/>
      <c r="EQ276" s="16"/>
      <c r="ER276" s="16"/>
      <c r="ES276" s="16"/>
      <c r="ET276" s="16"/>
      <c r="EU276" s="16"/>
      <c r="EV276" s="16"/>
      <c r="EW276" s="16"/>
      <c r="EX276" s="16"/>
      <c r="EY276" s="16"/>
      <c r="EZ276" s="16"/>
      <c r="FA276" s="16"/>
      <c r="FB276" s="16"/>
    </row>
    <row r="277" spans="1:158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70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25"/>
      <c r="AD277" s="26"/>
      <c r="AE277" s="26"/>
      <c r="AF277" s="26"/>
      <c r="AG277" s="25"/>
      <c r="AH277" s="26"/>
      <c r="AI277" s="26"/>
      <c r="AJ277" s="2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</row>
    <row r="278" spans="1:158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70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25"/>
      <c r="AD278" s="26"/>
      <c r="AE278" s="26"/>
      <c r="AF278" s="26"/>
      <c r="AG278" s="25"/>
      <c r="AH278" s="26"/>
      <c r="AI278" s="26"/>
      <c r="AJ278" s="2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  <c r="EB278" s="16"/>
      <c r="EC278" s="16"/>
      <c r="ED278" s="16"/>
      <c r="EE278" s="16"/>
      <c r="EF278" s="16"/>
      <c r="EG278" s="16"/>
      <c r="EH278" s="16"/>
      <c r="EI278" s="16"/>
      <c r="EJ278" s="16"/>
      <c r="EK278" s="16"/>
      <c r="EL278" s="16"/>
      <c r="EM278" s="16"/>
      <c r="EN278" s="16"/>
      <c r="EO278" s="16"/>
      <c r="EP278" s="16"/>
      <c r="EQ278" s="16"/>
      <c r="ER278" s="16"/>
      <c r="ES278" s="16"/>
      <c r="ET278" s="16"/>
      <c r="EU278" s="16"/>
      <c r="EV278" s="16"/>
      <c r="EW278" s="16"/>
      <c r="EX278" s="16"/>
      <c r="EY278" s="16"/>
      <c r="EZ278" s="16"/>
      <c r="FA278" s="16"/>
      <c r="FB278" s="16"/>
    </row>
    <row r="279" spans="1:158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70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25"/>
      <c r="AD279" s="26"/>
      <c r="AE279" s="26"/>
      <c r="AF279" s="26"/>
      <c r="AG279" s="25"/>
      <c r="AH279" s="26"/>
      <c r="AI279" s="26"/>
      <c r="AJ279" s="2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</row>
    <row r="280" spans="1:158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70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25"/>
      <c r="AD280" s="26"/>
      <c r="AE280" s="26"/>
      <c r="AF280" s="26"/>
      <c r="AG280" s="25"/>
      <c r="AH280" s="26"/>
      <c r="AI280" s="26"/>
      <c r="AJ280" s="2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  <c r="EB280" s="16"/>
      <c r="EC280" s="16"/>
      <c r="ED280" s="16"/>
      <c r="EE280" s="16"/>
      <c r="EF280" s="16"/>
      <c r="EG280" s="16"/>
      <c r="EH280" s="16"/>
      <c r="EI280" s="16"/>
      <c r="EJ280" s="16"/>
      <c r="EK280" s="16"/>
      <c r="EL280" s="16"/>
      <c r="EM280" s="16"/>
      <c r="EN280" s="16"/>
      <c r="EO280" s="16"/>
      <c r="EP280" s="16"/>
      <c r="EQ280" s="16"/>
      <c r="ER280" s="16"/>
      <c r="ES280" s="16"/>
      <c r="ET280" s="16"/>
      <c r="EU280" s="16"/>
      <c r="EV280" s="16"/>
      <c r="EW280" s="16"/>
      <c r="EX280" s="16"/>
      <c r="EY280" s="16"/>
      <c r="EZ280" s="16"/>
      <c r="FA280" s="16"/>
      <c r="FB280" s="16"/>
    </row>
    <row r="281" spans="1:158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70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25"/>
      <c r="AD281" s="26"/>
      <c r="AE281" s="26"/>
      <c r="AF281" s="26"/>
      <c r="AG281" s="25"/>
      <c r="AH281" s="26"/>
      <c r="AI281" s="26"/>
      <c r="AJ281" s="2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</row>
    <row r="282" spans="1:158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70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25"/>
      <c r="AD282" s="26"/>
      <c r="AE282" s="26"/>
      <c r="AF282" s="26"/>
      <c r="AG282" s="25"/>
      <c r="AH282" s="26"/>
      <c r="AI282" s="26"/>
      <c r="AJ282" s="2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  <c r="EB282" s="16"/>
      <c r="EC282" s="16"/>
      <c r="ED282" s="16"/>
      <c r="EE282" s="16"/>
      <c r="EF282" s="16"/>
      <c r="EG282" s="16"/>
      <c r="EH282" s="16"/>
      <c r="EI282" s="16"/>
      <c r="EJ282" s="16"/>
      <c r="EK282" s="16"/>
      <c r="EL282" s="16"/>
      <c r="EM282" s="16"/>
      <c r="EN282" s="16"/>
      <c r="EO282" s="16"/>
      <c r="EP282" s="16"/>
      <c r="EQ282" s="16"/>
      <c r="ER282" s="16"/>
      <c r="ES282" s="16"/>
      <c r="ET282" s="16"/>
      <c r="EU282" s="16"/>
      <c r="EV282" s="16"/>
      <c r="EW282" s="16"/>
      <c r="EX282" s="16"/>
      <c r="EY282" s="16"/>
      <c r="EZ282" s="16"/>
      <c r="FA282" s="16"/>
      <c r="FB282" s="16"/>
    </row>
    <row r="283" spans="1:158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70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25"/>
      <c r="AD283" s="26"/>
      <c r="AE283" s="26"/>
      <c r="AF283" s="26"/>
      <c r="AG283" s="25"/>
      <c r="AH283" s="26"/>
      <c r="AI283" s="26"/>
      <c r="AJ283" s="2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</row>
    <row r="284" spans="1:158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70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25"/>
      <c r="AD284" s="26"/>
      <c r="AE284" s="26"/>
      <c r="AF284" s="26"/>
      <c r="AG284" s="25"/>
      <c r="AH284" s="26"/>
      <c r="AI284" s="26"/>
      <c r="AJ284" s="2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  <c r="EB284" s="16"/>
      <c r="EC284" s="16"/>
      <c r="ED284" s="16"/>
      <c r="EE284" s="16"/>
      <c r="EF284" s="16"/>
      <c r="EG284" s="16"/>
      <c r="EH284" s="16"/>
      <c r="EI284" s="16"/>
      <c r="EJ284" s="16"/>
      <c r="EK284" s="16"/>
      <c r="EL284" s="16"/>
      <c r="EM284" s="16"/>
      <c r="EN284" s="16"/>
      <c r="EO284" s="16"/>
      <c r="EP284" s="16"/>
      <c r="EQ284" s="16"/>
      <c r="ER284" s="16"/>
      <c r="ES284" s="16"/>
      <c r="ET284" s="16"/>
      <c r="EU284" s="16"/>
      <c r="EV284" s="16"/>
      <c r="EW284" s="16"/>
      <c r="EX284" s="16"/>
      <c r="EY284" s="16"/>
      <c r="EZ284" s="16"/>
      <c r="FA284" s="16"/>
      <c r="FB284" s="16"/>
    </row>
    <row r="285" spans="1:158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70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25"/>
      <c r="AD285" s="26"/>
      <c r="AE285" s="26"/>
      <c r="AF285" s="26"/>
      <c r="AG285" s="25"/>
      <c r="AH285" s="26"/>
      <c r="AI285" s="26"/>
      <c r="AJ285" s="2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U285" s="16"/>
      <c r="EV285" s="16"/>
      <c r="EW285" s="16"/>
      <c r="EX285" s="16"/>
      <c r="EY285" s="16"/>
      <c r="EZ285" s="16"/>
      <c r="FA285" s="16"/>
      <c r="FB285" s="16"/>
    </row>
    <row r="286" spans="1:158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70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25"/>
      <c r="AD286" s="26"/>
      <c r="AE286" s="26"/>
      <c r="AF286" s="26"/>
      <c r="AG286" s="25"/>
      <c r="AH286" s="26"/>
      <c r="AI286" s="26"/>
      <c r="AJ286" s="2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  <c r="EB286" s="16"/>
      <c r="EC286" s="16"/>
      <c r="ED286" s="16"/>
      <c r="EE286" s="16"/>
      <c r="EF286" s="16"/>
      <c r="EG286" s="16"/>
      <c r="EH286" s="16"/>
      <c r="EI286" s="16"/>
      <c r="EJ286" s="16"/>
      <c r="EK286" s="16"/>
      <c r="EL286" s="16"/>
      <c r="EM286" s="16"/>
      <c r="EN286" s="16"/>
      <c r="EO286" s="16"/>
      <c r="EP286" s="16"/>
      <c r="EQ286" s="16"/>
      <c r="ER286" s="16"/>
      <c r="ES286" s="16"/>
      <c r="ET286" s="16"/>
      <c r="EU286" s="16"/>
      <c r="EV286" s="16"/>
      <c r="EW286" s="16"/>
      <c r="EX286" s="16"/>
      <c r="EY286" s="16"/>
      <c r="EZ286" s="16"/>
      <c r="FA286" s="16"/>
      <c r="FB286" s="16"/>
    </row>
    <row r="287" spans="1:158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70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25"/>
      <c r="AD287" s="26"/>
      <c r="AE287" s="26"/>
      <c r="AF287" s="26"/>
      <c r="AG287" s="25"/>
      <c r="AH287" s="26"/>
      <c r="AI287" s="26"/>
      <c r="AJ287" s="2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  <c r="EB287" s="16"/>
      <c r="EC287" s="16"/>
      <c r="ED287" s="16"/>
      <c r="EE287" s="16"/>
      <c r="EF287" s="16"/>
      <c r="EG287" s="16"/>
      <c r="EH287" s="16"/>
      <c r="EI287" s="16"/>
      <c r="EJ287" s="16"/>
      <c r="EK287" s="16"/>
      <c r="EL287" s="16"/>
      <c r="EM287" s="16"/>
      <c r="EN287" s="16"/>
      <c r="EO287" s="16"/>
      <c r="EP287" s="16"/>
      <c r="EQ287" s="16"/>
      <c r="ER287" s="16"/>
      <c r="ES287" s="16"/>
      <c r="ET287" s="16"/>
      <c r="EU287" s="16"/>
      <c r="EV287" s="16"/>
      <c r="EW287" s="16"/>
      <c r="EX287" s="16"/>
      <c r="EY287" s="16"/>
      <c r="EZ287" s="16"/>
      <c r="FA287" s="16"/>
      <c r="FB287" s="16"/>
    </row>
    <row r="288" spans="1:158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70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25"/>
      <c r="AD288" s="26"/>
      <c r="AE288" s="26"/>
      <c r="AF288" s="26"/>
      <c r="AG288" s="25"/>
      <c r="AH288" s="26"/>
      <c r="AI288" s="26"/>
      <c r="AJ288" s="2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U288" s="16"/>
      <c r="EV288" s="16"/>
      <c r="EW288" s="16"/>
      <c r="EX288" s="16"/>
      <c r="EY288" s="16"/>
      <c r="EZ288" s="16"/>
      <c r="FA288" s="16"/>
      <c r="FB288" s="16"/>
    </row>
    <row r="289" spans="1:158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70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25"/>
      <c r="AD289" s="26"/>
      <c r="AE289" s="26"/>
      <c r="AF289" s="26"/>
      <c r="AG289" s="25"/>
      <c r="AH289" s="26"/>
      <c r="AI289" s="26"/>
      <c r="AJ289" s="2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  <c r="EB289" s="16"/>
      <c r="EC289" s="16"/>
      <c r="ED289" s="16"/>
      <c r="EE289" s="16"/>
      <c r="EF289" s="16"/>
      <c r="EG289" s="16"/>
      <c r="EH289" s="16"/>
      <c r="EI289" s="16"/>
      <c r="EJ289" s="16"/>
      <c r="EK289" s="16"/>
      <c r="EL289" s="16"/>
      <c r="EM289" s="16"/>
      <c r="EN289" s="16"/>
      <c r="EO289" s="16"/>
      <c r="EP289" s="16"/>
      <c r="EQ289" s="16"/>
      <c r="ER289" s="16"/>
      <c r="ES289" s="16"/>
      <c r="ET289" s="16"/>
      <c r="EU289" s="16"/>
      <c r="EV289" s="16"/>
      <c r="EW289" s="16"/>
      <c r="EX289" s="16"/>
      <c r="EY289" s="16"/>
      <c r="EZ289" s="16"/>
      <c r="FA289" s="16"/>
      <c r="FB289" s="16"/>
    </row>
    <row r="290" spans="1:158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70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25"/>
      <c r="AD290" s="26"/>
      <c r="AE290" s="26"/>
      <c r="AF290" s="26"/>
      <c r="AG290" s="25"/>
      <c r="AH290" s="26"/>
      <c r="AI290" s="26"/>
      <c r="AJ290" s="2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U290" s="16"/>
      <c r="EV290" s="16"/>
      <c r="EW290" s="16"/>
      <c r="EX290" s="16"/>
      <c r="EY290" s="16"/>
      <c r="EZ290" s="16"/>
      <c r="FA290" s="16"/>
      <c r="FB290" s="16"/>
    </row>
    <row r="291" spans="1:158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70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25"/>
      <c r="AD291" s="26"/>
      <c r="AE291" s="26"/>
      <c r="AF291" s="26"/>
      <c r="AG291" s="25"/>
      <c r="AH291" s="26"/>
      <c r="AI291" s="26"/>
      <c r="AJ291" s="2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  <c r="EB291" s="16"/>
      <c r="EC291" s="16"/>
      <c r="ED291" s="16"/>
      <c r="EE291" s="16"/>
      <c r="EF291" s="16"/>
      <c r="EG291" s="16"/>
      <c r="EH291" s="16"/>
      <c r="EI291" s="16"/>
      <c r="EJ291" s="16"/>
      <c r="EK291" s="16"/>
      <c r="EL291" s="16"/>
      <c r="EM291" s="16"/>
      <c r="EN291" s="16"/>
      <c r="EO291" s="16"/>
      <c r="EP291" s="16"/>
      <c r="EQ291" s="16"/>
      <c r="ER291" s="16"/>
      <c r="ES291" s="16"/>
      <c r="ET291" s="16"/>
      <c r="EU291" s="16"/>
      <c r="EV291" s="16"/>
      <c r="EW291" s="16"/>
      <c r="EX291" s="16"/>
      <c r="EY291" s="16"/>
      <c r="EZ291" s="16"/>
      <c r="FA291" s="16"/>
      <c r="FB291" s="16"/>
    </row>
    <row r="292" spans="1:158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70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25"/>
      <c r="AD292" s="26"/>
      <c r="AE292" s="26"/>
      <c r="AF292" s="26"/>
      <c r="AG292" s="25"/>
      <c r="AH292" s="26"/>
      <c r="AI292" s="26"/>
      <c r="AJ292" s="2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U292" s="16"/>
      <c r="EV292" s="16"/>
      <c r="EW292" s="16"/>
      <c r="EX292" s="16"/>
      <c r="EY292" s="16"/>
      <c r="EZ292" s="16"/>
      <c r="FA292" s="16"/>
      <c r="FB292" s="16"/>
    </row>
    <row r="293" spans="1:158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70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25"/>
      <c r="AD293" s="26"/>
      <c r="AE293" s="26"/>
      <c r="AF293" s="26"/>
      <c r="AG293" s="25"/>
      <c r="AH293" s="26"/>
      <c r="AI293" s="26"/>
      <c r="AJ293" s="2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  <c r="EB293" s="16"/>
      <c r="EC293" s="16"/>
      <c r="ED293" s="16"/>
      <c r="EE293" s="16"/>
      <c r="EF293" s="16"/>
      <c r="EG293" s="16"/>
      <c r="EH293" s="16"/>
      <c r="EI293" s="16"/>
      <c r="EJ293" s="16"/>
      <c r="EK293" s="16"/>
      <c r="EL293" s="16"/>
      <c r="EM293" s="16"/>
      <c r="EN293" s="16"/>
      <c r="EO293" s="16"/>
      <c r="EP293" s="16"/>
      <c r="EQ293" s="16"/>
      <c r="ER293" s="16"/>
      <c r="ES293" s="16"/>
      <c r="ET293" s="16"/>
      <c r="EU293" s="16"/>
      <c r="EV293" s="16"/>
      <c r="EW293" s="16"/>
      <c r="EX293" s="16"/>
      <c r="EY293" s="16"/>
      <c r="EZ293" s="16"/>
      <c r="FA293" s="16"/>
      <c r="FB293" s="16"/>
    </row>
    <row r="294" spans="1:158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70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25"/>
      <c r="AD294" s="26"/>
      <c r="AE294" s="26"/>
      <c r="AF294" s="26"/>
      <c r="AG294" s="25"/>
      <c r="AH294" s="26"/>
      <c r="AI294" s="26"/>
      <c r="AJ294" s="2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U294" s="16"/>
      <c r="EV294" s="16"/>
      <c r="EW294" s="16"/>
      <c r="EX294" s="16"/>
      <c r="EY294" s="16"/>
      <c r="EZ294" s="16"/>
      <c r="FA294" s="16"/>
      <c r="FB294" s="16"/>
    </row>
    <row r="295" spans="1:158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70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25"/>
      <c r="AD295" s="26"/>
      <c r="AE295" s="26"/>
      <c r="AF295" s="26"/>
      <c r="AG295" s="25"/>
      <c r="AH295" s="26"/>
      <c r="AI295" s="26"/>
      <c r="AJ295" s="2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  <c r="EB295" s="16"/>
      <c r="EC295" s="16"/>
      <c r="ED295" s="16"/>
      <c r="EE295" s="16"/>
      <c r="EF295" s="16"/>
      <c r="EG295" s="16"/>
      <c r="EH295" s="16"/>
      <c r="EI295" s="16"/>
      <c r="EJ295" s="16"/>
      <c r="EK295" s="16"/>
      <c r="EL295" s="16"/>
      <c r="EM295" s="16"/>
      <c r="EN295" s="16"/>
      <c r="EO295" s="16"/>
      <c r="EP295" s="16"/>
      <c r="EQ295" s="16"/>
      <c r="ER295" s="16"/>
      <c r="ES295" s="16"/>
      <c r="ET295" s="16"/>
      <c r="EU295" s="16"/>
      <c r="EV295" s="16"/>
      <c r="EW295" s="16"/>
      <c r="EX295" s="16"/>
      <c r="EY295" s="16"/>
      <c r="EZ295" s="16"/>
      <c r="FA295" s="16"/>
      <c r="FB295" s="16"/>
    </row>
    <row r="296" spans="1:158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70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25"/>
      <c r="AD296" s="26"/>
      <c r="AE296" s="26"/>
      <c r="AF296" s="26"/>
      <c r="AG296" s="25"/>
      <c r="AH296" s="26"/>
      <c r="AI296" s="26"/>
      <c r="AJ296" s="2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U296" s="16"/>
      <c r="EV296" s="16"/>
      <c r="EW296" s="16"/>
      <c r="EX296" s="16"/>
      <c r="EY296" s="16"/>
      <c r="EZ296" s="16"/>
      <c r="FA296" s="16"/>
      <c r="FB296" s="16"/>
    </row>
    <row r="297" spans="1:158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70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25"/>
      <c r="AD297" s="26"/>
      <c r="AE297" s="26"/>
      <c r="AF297" s="26"/>
      <c r="AG297" s="25"/>
      <c r="AH297" s="26"/>
      <c r="AI297" s="26"/>
      <c r="AJ297" s="2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  <c r="EB297" s="16"/>
      <c r="EC297" s="16"/>
      <c r="ED297" s="16"/>
      <c r="EE297" s="16"/>
      <c r="EF297" s="16"/>
      <c r="EG297" s="16"/>
      <c r="EH297" s="16"/>
      <c r="EI297" s="16"/>
      <c r="EJ297" s="16"/>
      <c r="EK297" s="16"/>
      <c r="EL297" s="16"/>
      <c r="EM297" s="16"/>
      <c r="EN297" s="16"/>
      <c r="EO297" s="16"/>
      <c r="EP297" s="16"/>
      <c r="EQ297" s="16"/>
      <c r="ER297" s="16"/>
      <c r="ES297" s="16"/>
      <c r="ET297" s="16"/>
      <c r="EU297" s="16"/>
      <c r="EV297" s="16"/>
      <c r="EW297" s="16"/>
      <c r="EX297" s="16"/>
      <c r="EY297" s="16"/>
      <c r="EZ297" s="16"/>
      <c r="FA297" s="16"/>
      <c r="FB297" s="16"/>
    </row>
    <row r="298" spans="1:158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70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25"/>
      <c r="AD298" s="26"/>
      <c r="AE298" s="26"/>
      <c r="AF298" s="26"/>
      <c r="AG298" s="25"/>
      <c r="AH298" s="26"/>
      <c r="AI298" s="26"/>
      <c r="AJ298" s="2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U298" s="16"/>
      <c r="EV298" s="16"/>
      <c r="EW298" s="16"/>
      <c r="EX298" s="16"/>
      <c r="EY298" s="16"/>
      <c r="EZ298" s="16"/>
      <c r="FA298" s="16"/>
      <c r="FB298" s="16"/>
    </row>
    <row r="299" spans="1:158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70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25"/>
      <c r="AD299" s="26"/>
      <c r="AE299" s="26"/>
      <c r="AF299" s="26"/>
      <c r="AG299" s="25"/>
      <c r="AH299" s="26"/>
      <c r="AI299" s="26"/>
      <c r="AJ299" s="2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  <c r="EB299" s="16"/>
      <c r="EC299" s="16"/>
      <c r="ED299" s="16"/>
      <c r="EE299" s="16"/>
      <c r="EF299" s="16"/>
      <c r="EG299" s="16"/>
      <c r="EH299" s="16"/>
      <c r="EI299" s="16"/>
      <c r="EJ299" s="16"/>
      <c r="EK299" s="16"/>
      <c r="EL299" s="16"/>
      <c r="EM299" s="16"/>
      <c r="EN299" s="16"/>
      <c r="EO299" s="16"/>
      <c r="EP299" s="16"/>
      <c r="EQ299" s="16"/>
      <c r="ER299" s="16"/>
      <c r="ES299" s="16"/>
      <c r="ET299" s="16"/>
      <c r="EU299" s="16"/>
      <c r="EV299" s="16"/>
      <c r="EW299" s="16"/>
      <c r="EX299" s="16"/>
      <c r="EY299" s="16"/>
      <c r="EZ299" s="16"/>
      <c r="FA299" s="16"/>
      <c r="FB299" s="16"/>
    </row>
    <row r="300" spans="1:158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70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25"/>
      <c r="AD300" s="26"/>
      <c r="AE300" s="26"/>
      <c r="AF300" s="26"/>
      <c r="AG300" s="25"/>
      <c r="AH300" s="26"/>
      <c r="AI300" s="26"/>
      <c r="AJ300" s="2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16"/>
      <c r="EJ300" s="16"/>
      <c r="EK300" s="16"/>
      <c r="EL300" s="16"/>
      <c r="EM300" s="16"/>
      <c r="EN300" s="16"/>
      <c r="EO300" s="16"/>
      <c r="EP300" s="16"/>
      <c r="EQ300" s="16"/>
      <c r="ER300" s="16"/>
      <c r="ES300" s="16"/>
      <c r="ET300" s="16"/>
      <c r="EU300" s="16"/>
      <c r="EV300" s="16"/>
      <c r="EW300" s="16"/>
      <c r="EX300" s="16"/>
      <c r="EY300" s="16"/>
      <c r="EZ300" s="16"/>
      <c r="FA300" s="16"/>
      <c r="FB300" s="16"/>
    </row>
    <row r="301" spans="1:158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70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25"/>
      <c r="AD301" s="26"/>
      <c r="AE301" s="26"/>
      <c r="AF301" s="26"/>
      <c r="AG301" s="25"/>
      <c r="AH301" s="26"/>
      <c r="AI301" s="26"/>
      <c r="AJ301" s="2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  <c r="EC301" s="16"/>
      <c r="ED301" s="16"/>
      <c r="EE301" s="16"/>
      <c r="EF301" s="16"/>
      <c r="EG301" s="16"/>
      <c r="EH301" s="16"/>
      <c r="EI301" s="16"/>
      <c r="EJ301" s="16"/>
      <c r="EK301" s="16"/>
      <c r="EL301" s="16"/>
      <c r="EM301" s="16"/>
      <c r="EN301" s="16"/>
      <c r="EO301" s="16"/>
      <c r="EP301" s="16"/>
      <c r="EQ301" s="16"/>
      <c r="ER301" s="16"/>
      <c r="ES301" s="16"/>
      <c r="ET301" s="16"/>
      <c r="EU301" s="16"/>
      <c r="EV301" s="16"/>
      <c r="EW301" s="16"/>
      <c r="EX301" s="16"/>
      <c r="EY301" s="16"/>
      <c r="EZ301" s="16"/>
      <c r="FA301" s="16"/>
      <c r="FB301" s="16"/>
    </row>
    <row r="302" spans="1:158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70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25"/>
      <c r="AD302" s="26"/>
      <c r="AE302" s="26"/>
      <c r="AF302" s="26"/>
      <c r="AG302" s="25"/>
      <c r="AH302" s="26"/>
      <c r="AI302" s="26"/>
      <c r="AJ302" s="2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16"/>
      <c r="EJ302" s="16"/>
      <c r="EK302" s="16"/>
      <c r="EL302" s="16"/>
      <c r="EM302" s="16"/>
      <c r="EN302" s="16"/>
      <c r="EO302" s="16"/>
      <c r="EP302" s="16"/>
      <c r="EQ302" s="16"/>
      <c r="ER302" s="16"/>
      <c r="ES302" s="16"/>
      <c r="ET302" s="16"/>
      <c r="EU302" s="16"/>
      <c r="EV302" s="16"/>
      <c r="EW302" s="16"/>
      <c r="EX302" s="16"/>
      <c r="EY302" s="16"/>
      <c r="EZ302" s="16"/>
      <c r="FA302" s="16"/>
      <c r="FB302" s="16"/>
    </row>
    <row r="303" spans="1:158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70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25"/>
      <c r="AD303" s="26"/>
      <c r="AE303" s="26"/>
      <c r="AF303" s="26"/>
      <c r="AG303" s="25"/>
      <c r="AH303" s="26"/>
      <c r="AI303" s="26"/>
      <c r="AJ303" s="2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  <c r="EB303" s="16"/>
      <c r="EC303" s="16"/>
      <c r="ED303" s="16"/>
      <c r="EE303" s="16"/>
      <c r="EF303" s="16"/>
      <c r="EG303" s="16"/>
      <c r="EH303" s="16"/>
      <c r="EI303" s="16"/>
      <c r="EJ303" s="16"/>
      <c r="EK303" s="16"/>
      <c r="EL303" s="16"/>
      <c r="EM303" s="16"/>
      <c r="EN303" s="16"/>
      <c r="EO303" s="16"/>
      <c r="EP303" s="16"/>
      <c r="EQ303" s="16"/>
      <c r="ER303" s="16"/>
      <c r="ES303" s="16"/>
      <c r="ET303" s="16"/>
      <c r="EU303" s="16"/>
      <c r="EV303" s="16"/>
      <c r="EW303" s="16"/>
      <c r="EX303" s="16"/>
      <c r="EY303" s="16"/>
      <c r="EZ303" s="16"/>
      <c r="FA303" s="16"/>
      <c r="FB303" s="16"/>
    </row>
    <row r="304" spans="1:158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70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25"/>
      <c r="AD304" s="26"/>
      <c r="AE304" s="26"/>
      <c r="AF304" s="26"/>
      <c r="AG304" s="25"/>
      <c r="AH304" s="26"/>
      <c r="AI304" s="26"/>
      <c r="AJ304" s="2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16"/>
      <c r="EJ304" s="16"/>
      <c r="EK304" s="16"/>
      <c r="EL304" s="16"/>
      <c r="EM304" s="16"/>
      <c r="EN304" s="16"/>
      <c r="EO304" s="16"/>
      <c r="EP304" s="16"/>
      <c r="EQ304" s="16"/>
      <c r="ER304" s="16"/>
      <c r="ES304" s="16"/>
      <c r="ET304" s="16"/>
      <c r="EU304" s="16"/>
      <c r="EV304" s="16"/>
      <c r="EW304" s="16"/>
      <c r="EX304" s="16"/>
      <c r="EY304" s="16"/>
      <c r="EZ304" s="16"/>
      <c r="FA304" s="16"/>
      <c r="FB304" s="16"/>
    </row>
    <row r="305" spans="1:158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70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25"/>
      <c r="AD305" s="26"/>
      <c r="AE305" s="26"/>
      <c r="AF305" s="26"/>
      <c r="AG305" s="25"/>
      <c r="AH305" s="26"/>
      <c r="AI305" s="26"/>
      <c r="AJ305" s="2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  <c r="EB305" s="16"/>
      <c r="EC305" s="16"/>
      <c r="ED305" s="16"/>
      <c r="EE305" s="16"/>
      <c r="EF305" s="16"/>
      <c r="EG305" s="16"/>
      <c r="EH305" s="16"/>
      <c r="EI305" s="16"/>
      <c r="EJ305" s="16"/>
      <c r="EK305" s="16"/>
      <c r="EL305" s="16"/>
      <c r="EM305" s="16"/>
      <c r="EN305" s="16"/>
      <c r="EO305" s="16"/>
      <c r="EP305" s="16"/>
      <c r="EQ305" s="16"/>
      <c r="ER305" s="16"/>
      <c r="ES305" s="16"/>
      <c r="ET305" s="16"/>
      <c r="EU305" s="16"/>
      <c r="EV305" s="16"/>
      <c r="EW305" s="16"/>
      <c r="EX305" s="16"/>
      <c r="EY305" s="16"/>
      <c r="EZ305" s="16"/>
      <c r="FA305" s="16"/>
      <c r="FB305" s="16"/>
    </row>
    <row r="306" spans="1:158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70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25"/>
      <c r="AD306" s="26"/>
      <c r="AE306" s="26"/>
      <c r="AF306" s="26"/>
      <c r="AG306" s="25"/>
      <c r="AH306" s="26"/>
      <c r="AI306" s="26"/>
      <c r="AJ306" s="2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16"/>
      <c r="EJ306" s="16"/>
      <c r="EK306" s="16"/>
      <c r="EL306" s="16"/>
      <c r="EM306" s="16"/>
      <c r="EN306" s="16"/>
      <c r="EO306" s="16"/>
      <c r="EP306" s="16"/>
      <c r="EQ306" s="16"/>
      <c r="ER306" s="16"/>
      <c r="ES306" s="16"/>
      <c r="ET306" s="16"/>
      <c r="EU306" s="16"/>
      <c r="EV306" s="16"/>
      <c r="EW306" s="16"/>
      <c r="EX306" s="16"/>
      <c r="EY306" s="16"/>
      <c r="EZ306" s="16"/>
      <c r="FA306" s="16"/>
      <c r="FB306" s="16"/>
    </row>
    <row r="307" spans="1:158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70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25"/>
      <c r="AD307" s="26"/>
      <c r="AE307" s="26"/>
      <c r="AF307" s="26"/>
      <c r="AG307" s="25"/>
      <c r="AH307" s="26"/>
      <c r="AI307" s="26"/>
      <c r="AJ307" s="2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  <c r="EB307" s="16"/>
      <c r="EC307" s="16"/>
      <c r="ED307" s="16"/>
      <c r="EE307" s="16"/>
      <c r="EF307" s="16"/>
      <c r="EG307" s="16"/>
      <c r="EH307" s="16"/>
      <c r="EI307" s="16"/>
      <c r="EJ307" s="16"/>
      <c r="EK307" s="16"/>
      <c r="EL307" s="16"/>
      <c r="EM307" s="16"/>
      <c r="EN307" s="16"/>
      <c r="EO307" s="16"/>
      <c r="EP307" s="16"/>
      <c r="EQ307" s="16"/>
      <c r="ER307" s="16"/>
      <c r="ES307" s="16"/>
      <c r="ET307" s="16"/>
      <c r="EU307" s="16"/>
      <c r="EV307" s="16"/>
      <c r="EW307" s="16"/>
      <c r="EX307" s="16"/>
      <c r="EY307" s="16"/>
      <c r="EZ307" s="16"/>
      <c r="FA307" s="16"/>
      <c r="FB307" s="16"/>
    </row>
    <row r="308" spans="1:158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70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25"/>
      <c r="AD308" s="26"/>
      <c r="AE308" s="26"/>
      <c r="AF308" s="26"/>
      <c r="AG308" s="25"/>
      <c r="AH308" s="26"/>
      <c r="AI308" s="26"/>
      <c r="AJ308" s="2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16"/>
      <c r="EJ308" s="16"/>
      <c r="EK308" s="16"/>
      <c r="EL308" s="16"/>
      <c r="EM308" s="16"/>
      <c r="EN308" s="16"/>
      <c r="EO308" s="16"/>
      <c r="EP308" s="16"/>
      <c r="EQ308" s="16"/>
      <c r="ER308" s="16"/>
      <c r="ES308" s="16"/>
      <c r="ET308" s="16"/>
      <c r="EU308" s="16"/>
      <c r="EV308" s="16"/>
      <c r="EW308" s="16"/>
      <c r="EX308" s="16"/>
      <c r="EY308" s="16"/>
      <c r="EZ308" s="16"/>
      <c r="FA308" s="16"/>
      <c r="FB308" s="16"/>
    </row>
    <row r="309" spans="1:158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70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25"/>
      <c r="AD309" s="26"/>
      <c r="AE309" s="26"/>
      <c r="AF309" s="26"/>
      <c r="AG309" s="25"/>
      <c r="AH309" s="26"/>
      <c r="AI309" s="26"/>
      <c r="AJ309" s="2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  <c r="EB309" s="16"/>
      <c r="EC309" s="16"/>
      <c r="ED309" s="16"/>
      <c r="EE309" s="16"/>
      <c r="EF309" s="16"/>
      <c r="EG309" s="16"/>
      <c r="EH309" s="16"/>
      <c r="EI309" s="16"/>
      <c r="EJ309" s="16"/>
      <c r="EK309" s="16"/>
      <c r="EL309" s="16"/>
      <c r="EM309" s="16"/>
      <c r="EN309" s="16"/>
      <c r="EO309" s="16"/>
      <c r="EP309" s="16"/>
      <c r="EQ309" s="16"/>
      <c r="ER309" s="16"/>
      <c r="ES309" s="16"/>
      <c r="ET309" s="16"/>
      <c r="EU309" s="16"/>
      <c r="EV309" s="16"/>
      <c r="EW309" s="16"/>
      <c r="EX309" s="16"/>
      <c r="EY309" s="16"/>
      <c r="EZ309" s="16"/>
      <c r="FA309" s="16"/>
      <c r="FB309" s="16"/>
    </row>
    <row r="310" spans="1:158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70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25"/>
      <c r="AD310" s="26"/>
      <c r="AE310" s="26"/>
      <c r="AF310" s="26"/>
      <c r="AG310" s="25"/>
      <c r="AH310" s="26"/>
      <c r="AI310" s="26"/>
      <c r="AJ310" s="2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  <c r="EB310" s="16"/>
      <c r="EC310" s="16"/>
      <c r="ED310" s="16"/>
      <c r="EE310" s="16"/>
      <c r="EF310" s="16"/>
      <c r="EG310" s="16"/>
      <c r="EH310" s="16"/>
      <c r="EI310" s="16"/>
      <c r="EJ310" s="16"/>
      <c r="EK310" s="16"/>
      <c r="EL310" s="16"/>
      <c r="EM310" s="16"/>
      <c r="EN310" s="16"/>
      <c r="EO310" s="16"/>
      <c r="EP310" s="16"/>
      <c r="EQ310" s="16"/>
      <c r="ER310" s="16"/>
      <c r="ES310" s="16"/>
      <c r="ET310" s="16"/>
      <c r="EU310" s="16"/>
      <c r="EV310" s="16"/>
      <c r="EW310" s="16"/>
      <c r="EX310" s="16"/>
      <c r="EY310" s="16"/>
      <c r="EZ310" s="16"/>
      <c r="FA310" s="16"/>
      <c r="FB310" s="16"/>
    </row>
    <row r="311" spans="1:158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70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25"/>
      <c r="AD311" s="26"/>
      <c r="AE311" s="26"/>
      <c r="AF311" s="26"/>
      <c r="AG311" s="25"/>
      <c r="AH311" s="26"/>
      <c r="AI311" s="26"/>
      <c r="AJ311" s="2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16"/>
      <c r="EJ311" s="16"/>
      <c r="EK311" s="16"/>
      <c r="EL311" s="16"/>
      <c r="EM311" s="16"/>
      <c r="EN311" s="16"/>
      <c r="EO311" s="16"/>
      <c r="EP311" s="16"/>
      <c r="EQ311" s="16"/>
      <c r="ER311" s="16"/>
      <c r="ES311" s="16"/>
      <c r="ET311" s="16"/>
      <c r="EU311" s="16"/>
      <c r="EV311" s="16"/>
      <c r="EW311" s="16"/>
      <c r="EX311" s="16"/>
      <c r="EY311" s="16"/>
      <c r="EZ311" s="16"/>
      <c r="FA311" s="16"/>
      <c r="FB311" s="16"/>
    </row>
    <row r="312" spans="1:158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70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25"/>
      <c r="AD312" s="26"/>
      <c r="AE312" s="26"/>
      <c r="AF312" s="26"/>
      <c r="AG312" s="25"/>
      <c r="AH312" s="26"/>
      <c r="AI312" s="26"/>
      <c r="AJ312" s="2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  <c r="EB312" s="16"/>
      <c r="EC312" s="16"/>
      <c r="ED312" s="16"/>
      <c r="EE312" s="16"/>
      <c r="EF312" s="16"/>
      <c r="EG312" s="16"/>
      <c r="EH312" s="16"/>
      <c r="EI312" s="16"/>
      <c r="EJ312" s="16"/>
      <c r="EK312" s="16"/>
      <c r="EL312" s="16"/>
      <c r="EM312" s="16"/>
      <c r="EN312" s="16"/>
      <c r="EO312" s="16"/>
      <c r="EP312" s="16"/>
      <c r="EQ312" s="16"/>
      <c r="ER312" s="16"/>
      <c r="ES312" s="16"/>
      <c r="ET312" s="16"/>
      <c r="EU312" s="16"/>
      <c r="EV312" s="16"/>
      <c r="EW312" s="16"/>
      <c r="EX312" s="16"/>
      <c r="EY312" s="16"/>
      <c r="EZ312" s="16"/>
      <c r="FA312" s="16"/>
      <c r="FB312" s="16"/>
    </row>
    <row r="313" spans="1:158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70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25"/>
      <c r="AD313" s="26"/>
      <c r="AE313" s="26"/>
      <c r="AF313" s="26"/>
      <c r="AG313" s="25"/>
      <c r="AH313" s="26"/>
      <c r="AI313" s="26"/>
      <c r="AJ313" s="2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16"/>
      <c r="EJ313" s="16"/>
      <c r="EK313" s="16"/>
      <c r="EL313" s="16"/>
      <c r="EM313" s="16"/>
      <c r="EN313" s="16"/>
      <c r="EO313" s="16"/>
      <c r="EP313" s="16"/>
      <c r="EQ313" s="16"/>
      <c r="ER313" s="16"/>
      <c r="ES313" s="16"/>
      <c r="ET313" s="16"/>
      <c r="EU313" s="16"/>
      <c r="EV313" s="16"/>
      <c r="EW313" s="16"/>
      <c r="EX313" s="16"/>
      <c r="EY313" s="16"/>
      <c r="EZ313" s="16"/>
      <c r="FA313" s="16"/>
      <c r="FB313" s="16"/>
    </row>
    <row r="314" spans="1:158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70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25"/>
      <c r="AD314" s="26"/>
      <c r="AE314" s="26"/>
      <c r="AF314" s="26"/>
      <c r="AG314" s="25"/>
      <c r="AH314" s="26"/>
      <c r="AI314" s="26"/>
      <c r="AJ314" s="2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16"/>
      <c r="EJ314" s="16"/>
      <c r="EK314" s="16"/>
      <c r="EL314" s="16"/>
      <c r="EM314" s="16"/>
      <c r="EN314" s="16"/>
      <c r="EO314" s="16"/>
      <c r="EP314" s="16"/>
      <c r="EQ314" s="16"/>
      <c r="ER314" s="16"/>
      <c r="ES314" s="16"/>
      <c r="ET314" s="16"/>
      <c r="EU314" s="16"/>
      <c r="EV314" s="16"/>
      <c r="EW314" s="16"/>
      <c r="EX314" s="16"/>
      <c r="EY314" s="16"/>
      <c r="EZ314" s="16"/>
      <c r="FA314" s="16"/>
      <c r="FB314" s="16"/>
    </row>
    <row r="315" spans="1:158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70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25"/>
      <c r="AD315" s="26"/>
      <c r="AE315" s="26"/>
      <c r="AF315" s="26"/>
      <c r="AG315" s="25"/>
      <c r="AH315" s="26"/>
      <c r="AI315" s="26"/>
      <c r="AJ315" s="2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  <c r="EB315" s="16"/>
      <c r="EC315" s="16"/>
      <c r="ED315" s="16"/>
      <c r="EE315" s="16"/>
      <c r="EF315" s="16"/>
      <c r="EG315" s="16"/>
      <c r="EH315" s="16"/>
      <c r="EI315" s="16"/>
      <c r="EJ315" s="16"/>
      <c r="EK315" s="16"/>
      <c r="EL315" s="16"/>
      <c r="EM315" s="16"/>
      <c r="EN315" s="16"/>
      <c r="EO315" s="16"/>
      <c r="EP315" s="16"/>
      <c r="EQ315" s="16"/>
      <c r="ER315" s="16"/>
      <c r="ES315" s="16"/>
      <c r="ET315" s="16"/>
      <c r="EU315" s="16"/>
      <c r="EV315" s="16"/>
      <c r="EW315" s="16"/>
      <c r="EX315" s="16"/>
      <c r="EY315" s="16"/>
      <c r="EZ315" s="16"/>
      <c r="FA315" s="16"/>
      <c r="FB315" s="16"/>
    </row>
    <row r="316" spans="1:158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70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25"/>
      <c r="AD316" s="26"/>
      <c r="AE316" s="26"/>
      <c r="AF316" s="26"/>
      <c r="AG316" s="25"/>
      <c r="AH316" s="26"/>
      <c r="AI316" s="26"/>
      <c r="AJ316" s="2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16"/>
      <c r="EJ316" s="16"/>
      <c r="EK316" s="16"/>
      <c r="EL316" s="16"/>
      <c r="EM316" s="16"/>
      <c r="EN316" s="16"/>
      <c r="EO316" s="16"/>
      <c r="EP316" s="16"/>
      <c r="EQ316" s="16"/>
      <c r="ER316" s="16"/>
      <c r="ES316" s="16"/>
      <c r="ET316" s="16"/>
      <c r="EU316" s="16"/>
      <c r="EV316" s="16"/>
      <c r="EW316" s="16"/>
      <c r="EX316" s="16"/>
      <c r="EY316" s="16"/>
      <c r="EZ316" s="16"/>
      <c r="FA316" s="16"/>
      <c r="FB316" s="16"/>
    </row>
    <row r="317" spans="1:158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70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25"/>
      <c r="AD317" s="26"/>
      <c r="AE317" s="26"/>
      <c r="AF317" s="26"/>
      <c r="AG317" s="25"/>
      <c r="AH317" s="26"/>
      <c r="AI317" s="26"/>
      <c r="AJ317" s="2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  <c r="EB317" s="16"/>
      <c r="EC317" s="16"/>
      <c r="ED317" s="16"/>
      <c r="EE317" s="16"/>
      <c r="EF317" s="16"/>
      <c r="EG317" s="16"/>
      <c r="EH317" s="16"/>
      <c r="EI317" s="16"/>
      <c r="EJ317" s="16"/>
      <c r="EK317" s="16"/>
      <c r="EL317" s="16"/>
      <c r="EM317" s="16"/>
      <c r="EN317" s="16"/>
      <c r="EO317" s="16"/>
      <c r="EP317" s="16"/>
      <c r="EQ317" s="16"/>
      <c r="ER317" s="16"/>
      <c r="ES317" s="16"/>
      <c r="ET317" s="16"/>
      <c r="EU317" s="16"/>
      <c r="EV317" s="16"/>
      <c r="EW317" s="16"/>
      <c r="EX317" s="16"/>
      <c r="EY317" s="16"/>
      <c r="EZ317" s="16"/>
      <c r="FA317" s="16"/>
      <c r="FB317" s="16"/>
    </row>
    <row r="318" spans="1:158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70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25"/>
      <c r="AD318" s="26"/>
      <c r="AE318" s="26"/>
      <c r="AF318" s="26"/>
      <c r="AG318" s="25"/>
      <c r="AH318" s="26"/>
      <c r="AI318" s="26"/>
      <c r="AJ318" s="2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16"/>
      <c r="EJ318" s="16"/>
      <c r="EK318" s="16"/>
      <c r="EL318" s="16"/>
      <c r="EM318" s="16"/>
      <c r="EN318" s="16"/>
      <c r="EO318" s="16"/>
      <c r="EP318" s="16"/>
      <c r="EQ318" s="16"/>
      <c r="ER318" s="16"/>
      <c r="ES318" s="16"/>
      <c r="ET318" s="16"/>
      <c r="EU318" s="16"/>
      <c r="EV318" s="16"/>
      <c r="EW318" s="16"/>
      <c r="EX318" s="16"/>
      <c r="EY318" s="16"/>
      <c r="EZ318" s="16"/>
      <c r="FA318" s="16"/>
      <c r="FB318" s="16"/>
    </row>
    <row r="319" spans="1:158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70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25"/>
      <c r="AD319" s="26"/>
      <c r="AE319" s="26"/>
      <c r="AF319" s="26"/>
      <c r="AG319" s="25"/>
      <c r="AH319" s="26"/>
      <c r="AI319" s="26"/>
      <c r="AJ319" s="2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  <c r="EB319" s="16"/>
      <c r="EC319" s="16"/>
      <c r="ED319" s="16"/>
      <c r="EE319" s="16"/>
      <c r="EF319" s="16"/>
      <c r="EG319" s="16"/>
      <c r="EH319" s="16"/>
      <c r="EI319" s="16"/>
      <c r="EJ319" s="16"/>
      <c r="EK319" s="16"/>
      <c r="EL319" s="16"/>
      <c r="EM319" s="16"/>
      <c r="EN319" s="16"/>
      <c r="EO319" s="16"/>
      <c r="EP319" s="16"/>
      <c r="EQ319" s="16"/>
      <c r="ER319" s="16"/>
      <c r="ES319" s="16"/>
      <c r="ET319" s="16"/>
      <c r="EU319" s="16"/>
      <c r="EV319" s="16"/>
      <c r="EW319" s="16"/>
      <c r="EX319" s="16"/>
      <c r="EY319" s="16"/>
      <c r="EZ319" s="16"/>
      <c r="FA319" s="16"/>
      <c r="FB319" s="16"/>
    </row>
    <row r="320" spans="1:158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70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25"/>
      <c r="AD320" s="26"/>
      <c r="AE320" s="26"/>
      <c r="AF320" s="26"/>
      <c r="AG320" s="25"/>
      <c r="AH320" s="26"/>
      <c r="AI320" s="26"/>
      <c r="AJ320" s="2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16"/>
      <c r="EJ320" s="16"/>
      <c r="EK320" s="16"/>
      <c r="EL320" s="16"/>
      <c r="EM320" s="16"/>
      <c r="EN320" s="16"/>
      <c r="EO320" s="16"/>
      <c r="EP320" s="16"/>
      <c r="EQ320" s="16"/>
      <c r="ER320" s="16"/>
      <c r="ES320" s="16"/>
      <c r="ET320" s="16"/>
      <c r="EU320" s="16"/>
      <c r="EV320" s="16"/>
      <c r="EW320" s="16"/>
      <c r="EX320" s="16"/>
      <c r="EY320" s="16"/>
      <c r="EZ320" s="16"/>
      <c r="FA320" s="16"/>
      <c r="FB320" s="16"/>
    </row>
    <row r="321" spans="1:158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70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25"/>
      <c r="AD321" s="26"/>
      <c r="AE321" s="26"/>
      <c r="AF321" s="26"/>
      <c r="AG321" s="25"/>
      <c r="AH321" s="26"/>
      <c r="AI321" s="26"/>
      <c r="AJ321" s="2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  <c r="EB321" s="16"/>
      <c r="EC321" s="16"/>
      <c r="ED321" s="16"/>
      <c r="EE321" s="16"/>
      <c r="EF321" s="16"/>
      <c r="EG321" s="16"/>
      <c r="EH321" s="16"/>
      <c r="EI321" s="16"/>
      <c r="EJ321" s="16"/>
      <c r="EK321" s="16"/>
      <c r="EL321" s="16"/>
      <c r="EM321" s="16"/>
      <c r="EN321" s="16"/>
      <c r="EO321" s="16"/>
      <c r="EP321" s="16"/>
      <c r="EQ321" s="16"/>
      <c r="ER321" s="16"/>
      <c r="ES321" s="16"/>
      <c r="ET321" s="16"/>
      <c r="EU321" s="16"/>
      <c r="EV321" s="16"/>
      <c r="EW321" s="16"/>
      <c r="EX321" s="16"/>
      <c r="EY321" s="16"/>
      <c r="EZ321" s="16"/>
      <c r="FA321" s="16"/>
      <c r="FB321" s="16"/>
    </row>
    <row r="322" spans="1:158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70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25"/>
      <c r="AD322" s="26"/>
      <c r="AE322" s="26"/>
      <c r="AF322" s="26"/>
      <c r="AG322" s="25"/>
      <c r="AH322" s="26"/>
      <c r="AI322" s="26"/>
      <c r="AJ322" s="2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16"/>
      <c r="EJ322" s="16"/>
      <c r="EK322" s="16"/>
      <c r="EL322" s="16"/>
      <c r="EM322" s="16"/>
      <c r="EN322" s="16"/>
      <c r="EO322" s="16"/>
      <c r="EP322" s="16"/>
      <c r="EQ322" s="16"/>
      <c r="ER322" s="16"/>
      <c r="ES322" s="16"/>
      <c r="ET322" s="16"/>
      <c r="EU322" s="16"/>
      <c r="EV322" s="16"/>
      <c r="EW322" s="16"/>
      <c r="EX322" s="16"/>
      <c r="EY322" s="16"/>
      <c r="EZ322" s="16"/>
      <c r="FA322" s="16"/>
      <c r="FB322" s="16"/>
    </row>
    <row r="323" spans="1:158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70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25"/>
      <c r="AD323" s="26"/>
      <c r="AE323" s="26"/>
      <c r="AF323" s="26"/>
      <c r="AG323" s="25"/>
      <c r="AH323" s="26"/>
      <c r="AI323" s="26"/>
      <c r="AJ323" s="2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  <c r="EB323" s="16"/>
      <c r="EC323" s="16"/>
      <c r="ED323" s="16"/>
      <c r="EE323" s="16"/>
      <c r="EF323" s="16"/>
      <c r="EG323" s="16"/>
      <c r="EH323" s="16"/>
      <c r="EI323" s="16"/>
      <c r="EJ323" s="16"/>
      <c r="EK323" s="16"/>
      <c r="EL323" s="16"/>
      <c r="EM323" s="16"/>
      <c r="EN323" s="16"/>
      <c r="EO323" s="16"/>
      <c r="EP323" s="16"/>
      <c r="EQ323" s="16"/>
      <c r="ER323" s="16"/>
      <c r="ES323" s="16"/>
      <c r="ET323" s="16"/>
      <c r="EU323" s="16"/>
      <c r="EV323" s="16"/>
      <c r="EW323" s="16"/>
      <c r="EX323" s="16"/>
      <c r="EY323" s="16"/>
      <c r="EZ323" s="16"/>
      <c r="FA323" s="16"/>
      <c r="FB323" s="16"/>
    </row>
    <row r="324" spans="1:158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70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25"/>
      <c r="AD324" s="26"/>
      <c r="AE324" s="26"/>
      <c r="AF324" s="26"/>
      <c r="AG324" s="25"/>
      <c r="AH324" s="26"/>
      <c r="AI324" s="26"/>
      <c r="AJ324" s="2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16"/>
      <c r="EJ324" s="16"/>
      <c r="EK324" s="16"/>
      <c r="EL324" s="16"/>
      <c r="EM324" s="16"/>
      <c r="EN324" s="16"/>
      <c r="EO324" s="16"/>
      <c r="EP324" s="16"/>
      <c r="EQ324" s="16"/>
      <c r="ER324" s="16"/>
      <c r="ES324" s="16"/>
      <c r="ET324" s="16"/>
      <c r="EU324" s="16"/>
      <c r="EV324" s="16"/>
      <c r="EW324" s="16"/>
      <c r="EX324" s="16"/>
      <c r="EY324" s="16"/>
      <c r="EZ324" s="16"/>
      <c r="FA324" s="16"/>
      <c r="FB324" s="16"/>
    </row>
    <row r="325" spans="1:158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70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25"/>
      <c r="AD325" s="26"/>
      <c r="AE325" s="26"/>
      <c r="AF325" s="26"/>
      <c r="AG325" s="25"/>
      <c r="AH325" s="26"/>
      <c r="AI325" s="26"/>
      <c r="AJ325" s="2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  <c r="EB325" s="16"/>
      <c r="EC325" s="16"/>
      <c r="ED325" s="16"/>
      <c r="EE325" s="16"/>
      <c r="EF325" s="16"/>
      <c r="EG325" s="16"/>
      <c r="EH325" s="16"/>
      <c r="EI325" s="16"/>
      <c r="EJ325" s="16"/>
      <c r="EK325" s="16"/>
      <c r="EL325" s="16"/>
      <c r="EM325" s="16"/>
      <c r="EN325" s="16"/>
      <c r="EO325" s="16"/>
      <c r="EP325" s="16"/>
      <c r="EQ325" s="16"/>
      <c r="ER325" s="16"/>
      <c r="ES325" s="16"/>
      <c r="ET325" s="16"/>
      <c r="EU325" s="16"/>
      <c r="EV325" s="16"/>
      <c r="EW325" s="16"/>
      <c r="EX325" s="16"/>
      <c r="EY325" s="16"/>
      <c r="EZ325" s="16"/>
      <c r="FA325" s="16"/>
      <c r="FB325" s="16"/>
    </row>
    <row r="326" spans="1:158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70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25"/>
      <c r="AD326" s="26"/>
      <c r="AE326" s="26"/>
      <c r="AF326" s="26"/>
      <c r="AG326" s="25"/>
      <c r="AH326" s="26"/>
      <c r="AI326" s="26"/>
      <c r="AJ326" s="2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  <c r="EB326" s="16"/>
      <c r="EC326" s="16"/>
      <c r="ED326" s="16"/>
      <c r="EE326" s="16"/>
      <c r="EF326" s="16"/>
      <c r="EG326" s="16"/>
      <c r="EH326" s="16"/>
      <c r="EI326" s="16"/>
      <c r="EJ326" s="16"/>
      <c r="EK326" s="16"/>
      <c r="EL326" s="16"/>
      <c r="EM326" s="16"/>
      <c r="EN326" s="16"/>
      <c r="EO326" s="16"/>
      <c r="EP326" s="16"/>
      <c r="EQ326" s="16"/>
      <c r="ER326" s="16"/>
      <c r="ES326" s="16"/>
      <c r="ET326" s="16"/>
      <c r="EU326" s="16"/>
      <c r="EV326" s="16"/>
      <c r="EW326" s="16"/>
      <c r="EX326" s="16"/>
      <c r="EY326" s="16"/>
      <c r="EZ326" s="16"/>
      <c r="FA326" s="16"/>
      <c r="FB326" s="16"/>
    </row>
    <row r="327" spans="1:158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70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25"/>
      <c r="AD327" s="26"/>
      <c r="AE327" s="26"/>
      <c r="AF327" s="26"/>
      <c r="AG327" s="25"/>
      <c r="AH327" s="26"/>
      <c r="AI327" s="26"/>
      <c r="AJ327" s="2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16"/>
      <c r="EJ327" s="16"/>
      <c r="EK327" s="16"/>
      <c r="EL327" s="16"/>
      <c r="EM327" s="16"/>
      <c r="EN327" s="16"/>
      <c r="EO327" s="16"/>
      <c r="EP327" s="16"/>
      <c r="EQ327" s="16"/>
      <c r="ER327" s="16"/>
      <c r="ES327" s="16"/>
      <c r="ET327" s="16"/>
      <c r="EU327" s="16"/>
      <c r="EV327" s="16"/>
      <c r="EW327" s="16"/>
      <c r="EX327" s="16"/>
      <c r="EY327" s="16"/>
      <c r="EZ327" s="16"/>
      <c r="FA327" s="16"/>
      <c r="FB327" s="16"/>
    </row>
    <row r="328" spans="1:158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70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25"/>
      <c r="AD328" s="26"/>
      <c r="AE328" s="26"/>
      <c r="AF328" s="26"/>
      <c r="AG328" s="25"/>
      <c r="AH328" s="26"/>
      <c r="AI328" s="26"/>
      <c r="AJ328" s="2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  <c r="EB328" s="16"/>
      <c r="EC328" s="16"/>
      <c r="ED328" s="16"/>
      <c r="EE328" s="16"/>
      <c r="EF328" s="16"/>
      <c r="EG328" s="16"/>
      <c r="EH328" s="16"/>
      <c r="EI328" s="16"/>
      <c r="EJ328" s="16"/>
      <c r="EK328" s="16"/>
      <c r="EL328" s="16"/>
      <c r="EM328" s="16"/>
      <c r="EN328" s="16"/>
      <c r="EO328" s="16"/>
      <c r="EP328" s="16"/>
      <c r="EQ328" s="16"/>
      <c r="ER328" s="16"/>
      <c r="ES328" s="16"/>
      <c r="ET328" s="16"/>
      <c r="EU328" s="16"/>
      <c r="EV328" s="16"/>
      <c r="EW328" s="16"/>
      <c r="EX328" s="16"/>
      <c r="EY328" s="16"/>
      <c r="EZ328" s="16"/>
      <c r="FA328" s="16"/>
      <c r="FB328" s="16"/>
    </row>
    <row r="329" spans="1:158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70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25"/>
      <c r="AD329" s="26"/>
      <c r="AE329" s="26"/>
      <c r="AF329" s="26"/>
      <c r="AG329" s="25"/>
      <c r="AH329" s="26"/>
      <c r="AI329" s="26"/>
      <c r="AJ329" s="2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16"/>
      <c r="EJ329" s="16"/>
      <c r="EK329" s="16"/>
      <c r="EL329" s="16"/>
      <c r="EM329" s="16"/>
      <c r="EN329" s="16"/>
      <c r="EO329" s="16"/>
      <c r="EP329" s="16"/>
      <c r="EQ329" s="16"/>
      <c r="ER329" s="16"/>
      <c r="ES329" s="16"/>
      <c r="ET329" s="16"/>
      <c r="EU329" s="16"/>
      <c r="EV329" s="16"/>
      <c r="EW329" s="16"/>
      <c r="EX329" s="16"/>
      <c r="EY329" s="16"/>
      <c r="EZ329" s="16"/>
      <c r="FA329" s="16"/>
      <c r="FB329" s="16"/>
    </row>
    <row r="330" spans="1:158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70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25"/>
      <c r="AD330" s="26"/>
      <c r="AE330" s="26"/>
      <c r="AF330" s="26"/>
      <c r="AG330" s="25"/>
      <c r="AH330" s="26"/>
      <c r="AI330" s="26"/>
      <c r="AJ330" s="2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  <c r="EB330" s="16"/>
      <c r="EC330" s="16"/>
      <c r="ED330" s="16"/>
      <c r="EE330" s="16"/>
      <c r="EF330" s="16"/>
      <c r="EG330" s="16"/>
      <c r="EH330" s="16"/>
      <c r="EI330" s="16"/>
      <c r="EJ330" s="16"/>
      <c r="EK330" s="16"/>
      <c r="EL330" s="16"/>
      <c r="EM330" s="16"/>
      <c r="EN330" s="16"/>
      <c r="EO330" s="16"/>
      <c r="EP330" s="16"/>
      <c r="EQ330" s="16"/>
      <c r="ER330" s="16"/>
      <c r="ES330" s="16"/>
      <c r="ET330" s="16"/>
      <c r="EU330" s="16"/>
      <c r="EV330" s="16"/>
      <c r="EW330" s="16"/>
      <c r="EX330" s="16"/>
      <c r="EY330" s="16"/>
      <c r="EZ330" s="16"/>
      <c r="FA330" s="16"/>
      <c r="FB330" s="16"/>
    </row>
    <row r="331" spans="1:158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70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25"/>
      <c r="AD331" s="26"/>
      <c r="AE331" s="26"/>
      <c r="AF331" s="26"/>
      <c r="AG331" s="25"/>
      <c r="AH331" s="26"/>
      <c r="AI331" s="26"/>
      <c r="AJ331" s="2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16"/>
      <c r="EJ331" s="16"/>
      <c r="EK331" s="16"/>
      <c r="EL331" s="16"/>
      <c r="EM331" s="16"/>
      <c r="EN331" s="16"/>
      <c r="EO331" s="16"/>
      <c r="EP331" s="16"/>
      <c r="EQ331" s="16"/>
      <c r="ER331" s="16"/>
      <c r="ES331" s="16"/>
      <c r="ET331" s="16"/>
      <c r="EU331" s="16"/>
      <c r="EV331" s="16"/>
      <c r="EW331" s="16"/>
      <c r="EX331" s="16"/>
      <c r="EY331" s="16"/>
      <c r="EZ331" s="16"/>
      <c r="FA331" s="16"/>
      <c r="FB331" s="16"/>
    </row>
    <row r="332" spans="1:158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70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25"/>
      <c r="AD332" s="26"/>
      <c r="AE332" s="26"/>
      <c r="AF332" s="26"/>
      <c r="AG332" s="25"/>
      <c r="AH332" s="26"/>
      <c r="AI332" s="26"/>
      <c r="AJ332" s="2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  <c r="EB332" s="16"/>
      <c r="EC332" s="16"/>
      <c r="ED332" s="16"/>
      <c r="EE332" s="16"/>
      <c r="EF332" s="16"/>
      <c r="EG332" s="16"/>
      <c r="EH332" s="16"/>
      <c r="EI332" s="16"/>
      <c r="EJ332" s="16"/>
      <c r="EK332" s="16"/>
      <c r="EL332" s="16"/>
      <c r="EM332" s="16"/>
      <c r="EN332" s="16"/>
      <c r="EO332" s="16"/>
      <c r="EP332" s="16"/>
      <c r="EQ332" s="16"/>
      <c r="ER332" s="16"/>
      <c r="ES332" s="16"/>
      <c r="ET332" s="16"/>
      <c r="EU332" s="16"/>
      <c r="EV332" s="16"/>
      <c r="EW332" s="16"/>
      <c r="EX332" s="16"/>
      <c r="EY332" s="16"/>
      <c r="EZ332" s="16"/>
      <c r="FA332" s="16"/>
      <c r="FB332" s="16"/>
    </row>
    <row r="333" spans="1:158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70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25"/>
      <c r="AD333" s="26"/>
      <c r="AE333" s="26"/>
      <c r="AF333" s="26"/>
      <c r="AG333" s="25"/>
      <c r="AH333" s="26"/>
      <c r="AI333" s="26"/>
      <c r="AJ333" s="2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</row>
    <row r="334" spans="1:158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70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25"/>
      <c r="AD334" s="26"/>
      <c r="AE334" s="26"/>
      <c r="AF334" s="26"/>
      <c r="AG334" s="25"/>
      <c r="AH334" s="26"/>
      <c r="AI334" s="26"/>
      <c r="AJ334" s="2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  <c r="EB334" s="16"/>
      <c r="EC334" s="16"/>
      <c r="ED334" s="16"/>
      <c r="EE334" s="16"/>
      <c r="EF334" s="16"/>
      <c r="EG334" s="16"/>
      <c r="EH334" s="16"/>
      <c r="EI334" s="16"/>
      <c r="EJ334" s="16"/>
      <c r="EK334" s="16"/>
      <c r="EL334" s="16"/>
      <c r="EM334" s="16"/>
      <c r="EN334" s="16"/>
      <c r="EO334" s="16"/>
      <c r="EP334" s="16"/>
      <c r="EQ334" s="16"/>
      <c r="ER334" s="16"/>
      <c r="ES334" s="16"/>
      <c r="ET334" s="16"/>
      <c r="EU334" s="16"/>
      <c r="EV334" s="16"/>
      <c r="EW334" s="16"/>
      <c r="EX334" s="16"/>
      <c r="EY334" s="16"/>
      <c r="EZ334" s="16"/>
      <c r="FA334" s="16"/>
      <c r="FB334" s="16"/>
    </row>
    <row r="335" spans="1:158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70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25"/>
      <c r="AD335" s="26"/>
      <c r="AE335" s="26"/>
      <c r="AF335" s="26"/>
      <c r="AG335" s="25"/>
      <c r="AH335" s="26"/>
      <c r="AI335" s="26"/>
      <c r="AJ335" s="2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16"/>
      <c r="EJ335" s="16"/>
      <c r="EK335" s="16"/>
      <c r="EL335" s="16"/>
      <c r="EM335" s="16"/>
      <c r="EN335" s="16"/>
      <c r="EO335" s="16"/>
      <c r="EP335" s="16"/>
      <c r="EQ335" s="16"/>
      <c r="ER335" s="16"/>
      <c r="ES335" s="16"/>
      <c r="ET335" s="16"/>
      <c r="EU335" s="16"/>
      <c r="EV335" s="16"/>
      <c r="EW335" s="16"/>
      <c r="EX335" s="16"/>
      <c r="EY335" s="16"/>
      <c r="EZ335" s="16"/>
      <c r="FA335" s="16"/>
      <c r="FB335" s="16"/>
    </row>
    <row r="336" spans="1:158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70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25"/>
      <c r="AD336" s="26"/>
      <c r="AE336" s="26"/>
      <c r="AF336" s="26"/>
      <c r="AG336" s="25"/>
      <c r="AH336" s="26"/>
      <c r="AI336" s="26"/>
      <c r="AJ336" s="2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  <c r="EB336" s="16"/>
      <c r="EC336" s="16"/>
      <c r="ED336" s="16"/>
      <c r="EE336" s="16"/>
      <c r="EF336" s="16"/>
      <c r="EG336" s="16"/>
      <c r="EH336" s="16"/>
      <c r="EI336" s="16"/>
      <c r="EJ336" s="16"/>
      <c r="EK336" s="16"/>
      <c r="EL336" s="16"/>
      <c r="EM336" s="16"/>
      <c r="EN336" s="16"/>
      <c r="EO336" s="16"/>
      <c r="EP336" s="16"/>
      <c r="EQ336" s="16"/>
      <c r="ER336" s="16"/>
      <c r="ES336" s="16"/>
      <c r="ET336" s="16"/>
      <c r="EU336" s="16"/>
      <c r="EV336" s="16"/>
      <c r="EW336" s="16"/>
      <c r="EX336" s="16"/>
      <c r="EY336" s="16"/>
      <c r="EZ336" s="16"/>
      <c r="FA336" s="16"/>
      <c r="FB336" s="16"/>
    </row>
    <row r="337" spans="1:158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70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25"/>
      <c r="AD337" s="26"/>
      <c r="AE337" s="26"/>
      <c r="AF337" s="26"/>
      <c r="AG337" s="25"/>
      <c r="AH337" s="26"/>
      <c r="AI337" s="26"/>
      <c r="AJ337" s="2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</row>
    <row r="338" spans="1:158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70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25"/>
      <c r="AD338" s="26"/>
      <c r="AE338" s="26"/>
      <c r="AF338" s="26"/>
      <c r="AG338" s="25"/>
      <c r="AH338" s="26"/>
      <c r="AI338" s="26"/>
      <c r="AJ338" s="2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  <c r="EB338" s="16"/>
      <c r="EC338" s="16"/>
      <c r="ED338" s="16"/>
      <c r="EE338" s="16"/>
      <c r="EF338" s="16"/>
      <c r="EG338" s="16"/>
      <c r="EH338" s="16"/>
      <c r="EI338" s="16"/>
      <c r="EJ338" s="16"/>
      <c r="EK338" s="16"/>
      <c r="EL338" s="16"/>
      <c r="EM338" s="16"/>
      <c r="EN338" s="16"/>
      <c r="EO338" s="16"/>
      <c r="EP338" s="16"/>
      <c r="EQ338" s="16"/>
      <c r="ER338" s="16"/>
      <c r="ES338" s="16"/>
      <c r="ET338" s="16"/>
      <c r="EU338" s="16"/>
      <c r="EV338" s="16"/>
      <c r="EW338" s="16"/>
      <c r="EX338" s="16"/>
      <c r="EY338" s="16"/>
      <c r="EZ338" s="16"/>
      <c r="FA338" s="16"/>
      <c r="FB338" s="16"/>
    </row>
    <row r="339" spans="1:158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70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25"/>
      <c r="AD339" s="26"/>
      <c r="AE339" s="26"/>
      <c r="AF339" s="26"/>
      <c r="AG339" s="25"/>
      <c r="AH339" s="26"/>
      <c r="AI339" s="26"/>
      <c r="AJ339" s="2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</row>
    <row r="340" spans="1:158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70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25"/>
      <c r="AD340" s="26"/>
      <c r="AE340" s="26"/>
      <c r="AF340" s="26"/>
      <c r="AG340" s="25"/>
      <c r="AH340" s="26"/>
      <c r="AI340" s="26"/>
      <c r="AJ340" s="2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  <c r="EB340" s="16"/>
      <c r="EC340" s="16"/>
      <c r="ED340" s="16"/>
      <c r="EE340" s="16"/>
      <c r="EF340" s="16"/>
      <c r="EG340" s="16"/>
      <c r="EH340" s="16"/>
      <c r="EI340" s="16"/>
      <c r="EJ340" s="16"/>
      <c r="EK340" s="16"/>
      <c r="EL340" s="16"/>
      <c r="EM340" s="16"/>
      <c r="EN340" s="16"/>
      <c r="EO340" s="16"/>
      <c r="EP340" s="16"/>
      <c r="EQ340" s="16"/>
      <c r="ER340" s="16"/>
      <c r="ES340" s="16"/>
      <c r="ET340" s="16"/>
      <c r="EU340" s="16"/>
      <c r="EV340" s="16"/>
      <c r="EW340" s="16"/>
      <c r="EX340" s="16"/>
      <c r="EY340" s="16"/>
      <c r="EZ340" s="16"/>
      <c r="FA340" s="16"/>
      <c r="FB340" s="16"/>
    </row>
    <row r="341" spans="1:158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70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25"/>
      <c r="AD341" s="26"/>
      <c r="AE341" s="26"/>
      <c r="AF341" s="26"/>
      <c r="AG341" s="25"/>
      <c r="AH341" s="26"/>
      <c r="AI341" s="26"/>
      <c r="AJ341" s="2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16"/>
      <c r="EJ341" s="16"/>
      <c r="EK341" s="16"/>
      <c r="EL341" s="16"/>
      <c r="EM341" s="16"/>
      <c r="EN341" s="16"/>
      <c r="EO341" s="16"/>
      <c r="EP341" s="16"/>
      <c r="EQ341" s="16"/>
      <c r="ER341" s="16"/>
      <c r="ES341" s="16"/>
      <c r="ET341" s="16"/>
      <c r="EU341" s="16"/>
      <c r="EV341" s="16"/>
      <c r="EW341" s="16"/>
      <c r="EX341" s="16"/>
      <c r="EY341" s="16"/>
      <c r="EZ341" s="16"/>
      <c r="FA341" s="16"/>
      <c r="FB341" s="16"/>
    </row>
    <row r="342" spans="1:158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70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25"/>
      <c r="AD342" s="26"/>
      <c r="AE342" s="26"/>
      <c r="AF342" s="26"/>
      <c r="AG342" s="25"/>
      <c r="AH342" s="26"/>
      <c r="AI342" s="26"/>
      <c r="AJ342" s="2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  <c r="EB342" s="16"/>
      <c r="EC342" s="16"/>
      <c r="ED342" s="16"/>
      <c r="EE342" s="16"/>
      <c r="EF342" s="16"/>
      <c r="EG342" s="16"/>
      <c r="EH342" s="16"/>
      <c r="EI342" s="16"/>
      <c r="EJ342" s="16"/>
      <c r="EK342" s="16"/>
      <c r="EL342" s="16"/>
      <c r="EM342" s="16"/>
      <c r="EN342" s="16"/>
      <c r="EO342" s="16"/>
      <c r="EP342" s="16"/>
      <c r="EQ342" s="16"/>
      <c r="ER342" s="16"/>
      <c r="ES342" s="16"/>
      <c r="ET342" s="16"/>
      <c r="EU342" s="16"/>
      <c r="EV342" s="16"/>
      <c r="EW342" s="16"/>
      <c r="EX342" s="16"/>
      <c r="EY342" s="16"/>
      <c r="EZ342" s="16"/>
      <c r="FA342" s="16"/>
      <c r="FB342" s="16"/>
    </row>
    <row r="343" spans="1:158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70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25"/>
      <c r="AD343" s="26"/>
      <c r="AE343" s="26"/>
      <c r="AF343" s="26"/>
      <c r="AG343" s="25"/>
      <c r="AH343" s="26"/>
      <c r="AI343" s="26"/>
      <c r="AJ343" s="2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  <c r="EB343" s="16"/>
      <c r="EC343" s="16"/>
      <c r="ED343" s="16"/>
      <c r="EE343" s="16"/>
      <c r="EF343" s="16"/>
      <c r="EG343" s="16"/>
      <c r="EH343" s="16"/>
      <c r="EI343" s="16"/>
      <c r="EJ343" s="16"/>
      <c r="EK343" s="16"/>
      <c r="EL343" s="16"/>
      <c r="EM343" s="16"/>
      <c r="EN343" s="16"/>
      <c r="EO343" s="16"/>
      <c r="EP343" s="16"/>
      <c r="EQ343" s="16"/>
      <c r="ER343" s="16"/>
      <c r="ES343" s="16"/>
      <c r="ET343" s="16"/>
      <c r="EU343" s="16"/>
      <c r="EV343" s="16"/>
      <c r="EW343" s="16"/>
      <c r="EX343" s="16"/>
      <c r="EY343" s="16"/>
      <c r="EZ343" s="16"/>
      <c r="FA343" s="16"/>
      <c r="FB343" s="16"/>
    </row>
    <row r="344" spans="1:158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70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25"/>
      <c r="AD344" s="26"/>
      <c r="AE344" s="26"/>
      <c r="AF344" s="26"/>
      <c r="AG344" s="25"/>
      <c r="AH344" s="26"/>
      <c r="AI344" s="26"/>
      <c r="AJ344" s="2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16"/>
      <c r="EJ344" s="16"/>
      <c r="EK344" s="16"/>
      <c r="EL344" s="16"/>
      <c r="EM344" s="16"/>
      <c r="EN344" s="16"/>
      <c r="EO344" s="16"/>
      <c r="EP344" s="16"/>
      <c r="EQ344" s="16"/>
      <c r="ER344" s="16"/>
      <c r="ES344" s="16"/>
      <c r="ET344" s="16"/>
      <c r="EU344" s="16"/>
      <c r="EV344" s="16"/>
      <c r="EW344" s="16"/>
      <c r="EX344" s="16"/>
      <c r="EY344" s="16"/>
      <c r="EZ344" s="16"/>
      <c r="FA344" s="16"/>
      <c r="FB344" s="16"/>
    </row>
    <row r="345" spans="1:158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70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25"/>
      <c r="AD345" s="26"/>
      <c r="AE345" s="26"/>
      <c r="AF345" s="26"/>
      <c r="AG345" s="25"/>
      <c r="AH345" s="26"/>
      <c r="AI345" s="26"/>
      <c r="AJ345" s="2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  <c r="EB345" s="16"/>
      <c r="EC345" s="16"/>
      <c r="ED345" s="16"/>
      <c r="EE345" s="16"/>
      <c r="EF345" s="16"/>
      <c r="EG345" s="16"/>
      <c r="EH345" s="16"/>
      <c r="EI345" s="16"/>
      <c r="EJ345" s="16"/>
      <c r="EK345" s="16"/>
      <c r="EL345" s="16"/>
      <c r="EM345" s="16"/>
      <c r="EN345" s="16"/>
      <c r="EO345" s="16"/>
      <c r="EP345" s="16"/>
      <c r="EQ345" s="16"/>
      <c r="ER345" s="16"/>
      <c r="ES345" s="16"/>
      <c r="ET345" s="16"/>
      <c r="EU345" s="16"/>
      <c r="EV345" s="16"/>
      <c r="EW345" s="16"/>
      <c r="EX345" s="16"/>
      <c r="EY345" s="16"/>
      <c r="EZ345" s="16"/>
      <c r="FA345" s="16"/>
      <c r="FB345" s="16"/>
    </row>
    <row r="346" spans="1:158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70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25"/>
      <c r="AD346" s="26"/>
      <c r="AE346" s="26"/>
      <c r="AF346" s="26"/>
      <c r="AG346" s="25"/>
      <c r="AH346" s="26"/>
      <c r="AI346" s="26"/>
      <c r="AJ346" s="2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16"/>
      <c r="EJ346" s="16"/>
      <c r="EK346" s="16"/>
      <c r="EL346" s="16"/>
      <c r="EM346" s="16"/>
      <c r="EN346" s="16"/>
      <c r="EO346" s="16"/>
      <c r="EP346" s="16"/>
      <c r="EQ346" s="16"/>
      <c r="ER346" s="16"/>
      <c r="ES346" s="16"/>
      <c r="ET346" s="16"/>
      <c r="EU346" s="16"/>
      <c r="EV346" s="16"/>
      <c r="EW346" s="16"/>
      <c r="EX346" s="16"/>
      <c r="EY346" s="16"/>
      <c r="EZ346" s="16"/>
      <c r="FA346" s="16"/>
      <c r="FB346" s="16"/>
    </row>
    <row r="347" spans="1:158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70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25"/>
      <c r="AD347" s="26"/>
      <c r="AE347" s="26"/>
      <c r="AF347" s="26"/>
      <c r="AG347" s="25"/>
      <c r="AH347" s="26"/>
      <c r="AI347" s="26"/>
      <c r="AJ347" s="2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  <c r="EB347" s="16"/>
      <c r="EC347" s="16"/>
      <c r="ED347" s="16"/>
      <c r="EE347" s="16"/>
      <c r="EF347" s="16"/>
      <c r="EG347" s="16"/>
      <c r="EH347" s="16"/>
      <c r="EI347" s="16"/>
      <c r="EJ347" s="16"/>
      <c r="EK347" s="16"/>
      <c r="EL347" s="16"/>
      <c r="EM347" s="16"/>
      <c r="EN347" s="16"/>
      <c r="EO347" s="16"/>
      <c r="EP347" s="16"/>
      <c r="EQ347" s="16"/>
      <c r="ER347" s="16"/>
      <c r="ES347" s="16"/>
      <c r="ET347" s="16"/>
      <c r="EU347" s="16"/>
      <c r="EV347" s="16"/>
      <c r="EW347" s="16"/>
      <c r="EX347" s="16"/>
      <c r="EY347" s="16"/>
      <c r="EZ347" s="16"/>
      <c r="FA347" s="16"/>
      <c r="FB347" s="16"/>
    </row>
    <row r="348" spans="1:158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70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25"/>
      <c r="AD348" s="26"/>
      <c r="AE348" s="26"/>
      <c r="AF348" s="26"/>
      <c r="AG348" s="25"/>
      <c r="AH348" s="26"/>
      <c r="AI348" s="26"/>
      <c r="AJ348" s="2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16"/>
      <c r="EJ348" s="16"/>
      <c r="EK348" s="16"/>
      <c r="EL348" s="16"/>
      <c r="EM348" s="16"/>
      <c r="EN348" s="16"/>
      <c r="EO348" s="16"/>
      <c r="EP348" s="16"/>
      <c r="EQ348" s="16"/>
      <c r="ER348" s="16"/>
      <c r="ES348" s="16"/>
      <c r="ET348" s="16"/>
      <c r="EU348" s="16"/>
      <c r="EV348" s="16"/>
      <c r="EW348" s="16"/>
      <c r="EX348" s="16"/>
      <c r="EY348" s="16"/>
      <c r="EZ348" s="16"/>
      <c r="FA348" s="16"/>
      <c r="FB348" s="16"/>
    </row>
    <row r="349" spans="1:158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70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25"/>
      <c r="AD349" s="26"/>
      <c r="AE349" s="26"/>
      <c r="AF349" s="26"/>
      <c r="AG349" s="25"/>
      <c r="AH349" s="26"/>
      <c r="AI349" s="26"/>
      <c r="AJ349" s="2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  <c r="EB349" s="16"/>
      <c r="EC349" s="16"/>
      <c r="ED349" s="16"/>
      <c r="EE349" s="16"/>
      <c r="EF349" s="16"/>
      <c r="EG349" s="16"/>
      <c r="EH349" s="16"/>
      <c r="EI349" s="16"/>
      <c r="EJ349" s="16"/>
      <c r="EK349" s="16"/>
      <c r="EL349" s="16"/>
      <c r="EM349" s="16"/>
      <c r="EN349" s="16"/>
      <c r="EO349" s="16"/>
      <c r="EP349" s="16"/>
      <c r="EQ349" s="16"/>
      <c r="ER349" s="16"/>
      <c r="ES349" s="16"/>
      <c r="ET349" s="16"/>
      <c r="EU349" s="16"/>
      <c r="EV349" s="16"/>
      <c r="EW349" s="16"/>
      <c r="EX349" s="16"/>
      <c r="EY349" s="16"/>
      <c r="EZ349" s="16"/>
      <c r="FA349" s="16"/>
      <c r="FB349" s="16"/>
    </row>
    <row r="350" spans="1:158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70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25"/>
      <c r="AD350" s="26"/>
      <c r="AE350" s="26"/>
      <c r="AF350" s="26"/>
      <c r="AG350" s="25"/>
      <c r="AH350" s="26"/>
      <c r="AI350" s="26"/>
      <c r="AJ350" s="2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16"/>
      <c r="EJ350" s="16"/>
      <c r="EK350" s="16"/>
      <c r="EL350" s="16"/>
      <c r="EM350" s="16"/>
      <c r="EN350" s="16"/>
      <c r="EO350" s="16"/>
      <c r="EP350" s="16"/>
      <c r="EQ350" s="16"/>
      <c r="ER350" s="16"/>
      <c r="ES350" s="16"/>
      <c r="ET350" s="16"/>
      <c r="EU350" s="16"/>
      <c r="EV350" s="16"/>
      <c r="EW350" s="16"/>
      <c r="EX350" s="16"/>
      <c r="EY350" s="16"/>
      <c r="EZ350" s="16"/>
      <c r="FA350" s="16"/>
      <c r="FB350" s="16"/>
    </row>
    <row r="351" spans="1:158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70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25"/>
      <c r="AD351" s="26"/>
      <c r="AE351" s="26"/>
      <c r="AF351" s="26"/>
      <c r="AG351" s="25"/>
      <c r="AH351" s="26"/>
      <c r="AI351" s="26"/>
      <c r="AJ351" s="2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  <c r="EB351" s="16"/>
      <c r="EC351" s="16"/>
      <c r="ED351" s="16"/>
      <c r="EE351" s="16"/>
      <c r="EF351" s="16"/>
      <c r="EG351" s="16"/>
      <c r="EH351" s="16"/>
      <c r="EI351" s="16"/>
      <c r="EJ351" s="16"/>
      <c r="EK351" s="16"/>
      <c r="EL351" s="16"/>
      <c r="EM351" s="16"/>
      <c r="EN351" s="16"/>
      <c r="EO351" s="16"/>
      <c r="EP351" s="16"/>
      <c r="EQ351" s="16"/>
      <c r="ER351" s="16"/>
      <c r="ES351" s="16"/>
      <c r="ET351" s="16"/>
      <c r="EU351" s="16"/>
      <c r="EV351" s="16"/>
      <c r="EW351" s="16"/>
      <c r="EX351" s="16"/>
      <c r="EY351" s="16"/>
      <c r="EZ351" s="16"/>
      <c r="FA351" s="16"/>
      <c r="FB351" s="16"/>
    </row>
    <row r="352" spans="1:158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70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25"/>
      <c r="AD352" s="26"/>
      <c r="AE352" s="26"/>
      <c r="AF352" s="26"/>
      <c r="AG352" s="25"/>
      <c r="AH352" s="26"/>
      <c r="AI352" s="26"/>
      <c r="AJ352" s="2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16"/>
      <c r="EJ352" s="16"/>
      <c r="EK352" s="16"/>
      <c r="EL352" s="16"/>
      <c r="EM352" s="16"/>
      <c r="EN352" s="16"/>
      <c r="EO352" s="16"/>
      <c r="EP352" s="16"/>
      <c r="EQ352" s="16"/>
      <c r="ER352" s="16"/>
      <c r="ES352" s="16"/>
      <c r="ET352" s="16"/>
      <c r="EU352" s="16"/>
      <c r="EV352" s="16"/>
      <c r="EW352" s="16"/>
      <c r="EX352" s="16"/>
      <c r="EY352" s="16"/>
      <c r="EZ352" s="16"/>
      <c r="FA352" s="16"/>
      <c r="FB352" s="16"/>
    </row>
    <row r="353" spans="1:158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70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25"/>
      <c r="AD353" s="26"/>
      <c r="AE353" s="26"/>
      <c r="AF353" s="26"/>
      <c r="AG353" s="25"/>
      <c r="AH353" s="26"/>
      <c r="AI353" s="26"/>
      <c r="AJ353" s="2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  <c r="EB353" s="16"/>
      <c r="EC353" s="16"/>
      <c r="ED353" s="16"/>
      <c r="EE353" s="16"/>
      <c r="EF353" s="16"/>
      <c r="EG353" s="16"/>
      <c r="EH353" s="16"/>
      <c r="EI353" s="16"/>
      <c r="EJ353" s="16"/>
      <c r="EK353" s="16"/>
      <c r="EL353" s="16"/>
      <c r="EM353" s="16"/>
      <c r="EN353" s="16"/>
      <c r="EO353" s="16"/>
      <c r="EP353" s="16"/>
      <c r="EQ353" s="16"/>
      <c r="ER353" s="16"/>
      <c r="ES353" s="16"/>
      <c r="ET353" s="16"/>
      <c r="EU353" s="16"/>
      <c r="EV353" s="16"/>
      <c r="EW353" s="16"/>
      <c r="EX353" s="16"/>
      <c r="EY353" s="16"/>
      <c r="EZ353" s="16"/>
      <c r="FA353" s="16"/>
      <c r="FB353" s="16"/>
    </row>
    <row r="354" spans="1:158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70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25"/>
      <c r="AD354" s="26"/>
      <c r="AE354" s="26"/>
      <c r="AF354" s="26"/>
      <c r="AG354" s="25"/>
      <c r="AH354" s="26"/>
      <c r="AI354" s="26"/>
      <c r="AJ354" s="2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16"/>
      <c r="EJ354" s="16"/>
      <c r="EK354" s="16"/>
      <c r="EL354" s="16"/>
      <c r="EM354" s="16"/>
      <c r="EN354" s="16"/>
      <c r="EO354" s="16"/>
      <c r="EP354" s="16"/>
      <c r="EQ354" s="16"/>
      <c r="ER354" s="16"/>
      <c r="ES354" s="16"/>
      <c r="ET354" s="16"/>
      <c r="EU354" s="16"/>
      <c r="EV354" s="16"/>
      <c r="EW354" s="16"/>
      <c r="EX354" s="16"/>
      <c r="EY354" s="16"/>
      <c r="EZ354" s="16"/>
      <c r="FA354" s="16"/>
      <c r="FB354" s="16"/>
    </row>
    <row r="355" spans="1:158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70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25"/>
      <c r="AD355" s="26"/>
      <c r="AE355" s="26"/>
      <c r="AF355" s="26"/>
      <c r="AG355" s="25"/>
      <c r="AH355" s="26"/>
      <c r="AI355" s="26"/>
      <c r="AJ355" s="2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  <c r="EB355" s="16"/>
      <c r="EC355" s="16"/>
      <c r="ED355" s="16"/>
      <c r="EE355" s="16"/>
      <c r="EF355" s="16"/>
      <c r="EG355" s="16"/>
      <c r="EH355" s="16"/>
      <c r="EI355" s="16"/>
      <c r="EJ355" s="16"/>
      <c r="EK355" s="16"/>
      <c r="EL355" s="16"/>
      <c r="EM355" s="16"/>
      <c r="EN355" s="16"/>
      <c r="EO355" s="16"/>
      <c r="EP355" s="16"/>
      <c r="EQ355" s="16"/>
      <c r="ER355" s="16"/>
      <c r="ES355" s="16"/>
      <c r="ET355" s="16"/>
      <c r="EU355" s="16"/>
      <c r="EV355" s="16"/>
      <c r="EW355" s="16"/>
      <c r="EX355" s="16"/>
      <c r="EY355" s="16"/>
      <c r="EZ355" s="16"/>
      <c r="FA355" s="16"/>
      <c r="FB355" s="16"/>
    </row>
    <row r="356" spans="1:158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70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25"/>
      <c r="AD356" s="26"/>
      <c r="AE356" s="26"/>
      <c r="AF356" s="26"/>
      <c r="AG356" s="25"/>
      <c r="AH356" s="26"/>
      <c r="AI356" s="26"/>
      <c r="AJ356" s="2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16"/>
      <c r="EJ356" s="16"/>
      <c r="EK356" s="16"/>
      <c r="EL356" s="16"/>
      <c r="EM356" s="16"/>
      <c r="EN356" s="16"/>
      <c r="EO356" s="16"/>
      <c r="EP356" s="16"/>
      <c r="EQ356" s="16"/>
      <c r="ER356" s="16"/>
      <c r="ES356" s="16"/>
      <c r="ET356" s="16"/>
      <c r="EU356" s="16"/>
      <c r="EV356" s="16"/>
      <c r="EW356" s="16"/>
      <c r="EX356" s="16"/>
      <c r="EY356" s="16"/>
      <c r="EZ356" s="16"/>
      <c r="FA356" s="16"/>
      <c r="FB356" s="16"/>
    </row>
    <row r="357" spans="1:158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70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25"/>
      <c r="AD357" s="26"/>
      <c r="AE357" s="26"/>
      <c r="AF357" s="26"/>
      <c r="AG357" s="25"/>
      <c r="AH357" s="26"/>
      <c r="AI357" s="26"/>
      <c r="AJ357" s="2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16"/>
      <c r="EF357" s="16"/>
      <c r="EG357" s="16"/>
      <c r="EH357" s="16"/>
      <c r="EI357" s="16"/>
      <c r="EJ357" s="16"/>
      <c r="EK357" s="16"/>
      <c r="EL357" s="16"/>
      <c r="EM357" s="16"/>
      <c r="EN357" s="16"/>
      <c r="EO357" s="16"/>
      <c r="EP357" s="16"/>
      <c r="EQ357" s="16"/>
      <c r="ER357" s="16"/>
      <c r="ES357" s="16"/>
      <c r="ET357" s="16"/>
      <c r="EU357" s="16"/>
      <c r="EV357" s="16"/>
      <c r="EW357" s="16"/>
      <c r="EX357" s="16"/>
      <c r="EY357" s="16"/>
      <c r="EZ357" s="16"/>
      <c r="FA357" s="16"/>
      <c r="FB357" s="16"/>
    </row>
    <row r="358" spans="1:158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70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25"/>
      <c r="AD358" s="26"/>
      <c r="AE358" s="26"/>
      <c r="AF358" s="26"/>
      <c r="AG358" s="25"/>
      <c r="AH358" s="26"/>
      <c r="AI358" s="26"/>
      <c r="AJ358" s="2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16"/>
      <c r="EJ358" s="16"/>
      <c r="EK358" s="16"/>
      <c r="EL358" s="16"/>
      <c r="EM358" s="16"/>
      <c r="EN358" s="16"/>
      <c r="EO358" s="16"/>
      <c r="EP358" s="16"/>
      <c r="EQ358" s="16"/>
      <c r="ER358" s="16"/>
      <c r="ES358" s="16"/>
      <c r="ET358" s="16"/>
      <c r="EU358" s="16"/>
      <c r="EV358" s="16"/>
      <c r="EW358" s="16"/>
      <c r="EX358" s="16"/>
      <c r="EY358" s="16"/>
      <c r="EZ358" s="16"/>
      <c r="FA358" s="16"/>
      <c r="FB358" s="16"/>
    </row>
    <row r="359" spans="1:158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70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25"/>
      <c r="AD359" s="26"/>
      <c r="AE359" s="26"/>
      <c r="AF359" s="26"/>
      <c r="AG359" s="25"/>
      <c r="AH359" s="26"/>
      <c r="AI359" s="26"/>
      <c r="AJ359" s="2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  <c r="EB359" s="16"/>
      <c r="EC359" s="16"/>
      <c r="ED359" s="16"/>
      <c r="EE359" s="16"/>
      <c r="EF359" s="16"/>
      <c r="EG359" s="16"/>
      <c r="EH359" s="16"/>
      <c r="EI359" s="16"/>
      <c r="EJ359" s="16"/>
      <c r="EK359" s="16"/>
      <c r="EL359" s="16"/>
      <c r="EM359" s="16"/>
      <c r="EN359" s="16"/>
      <c r="EO359" s="16"/>
      <c r="EP359" s="16"/>
      <c r="EQ359" s="16"/>
      <c r="ER359" s="16"/>
      <c r="ES359" s="16"/>
      <c r="ET359" s="16"/>
      <c r="EU359" s="16"/>
      <c r="EV359" s="16"/>
      <c r="EW359" s="16"/>
      <c r="EX359" s="16"/>
      <c r="EY359" s="16"/>
      <c r="EZ359" s="16"/>
      <c r="FA359" s="16"/>
      <c r="FB359" s="16"/>
    </row>
    <row r="360" spans="1:158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70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25"/>
      <c r="AD360" s="26"/>
      <c r="AE360" s="26"/>
      <c r="AF360" s="26"/>
      <c r="AG360" s="25"/>
      <c r="AH360" s="26"/>
      <c r="AI360" s="26"/>
      <c r="AJ360" s="2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16"/>
      <c r="EJ360" s="16"/>
      <c r="EK360" s="16"/>
      <c r="EL360" s="16"/>
      <c r="EM360" s="16"/>
      <c r="EN360" s="16"/>
      <c r="EO360" s="16"/>
      <c r="EP360" s="16"/>
      <c r="EQ360" s="16"/>
      <c r="ER360" s="16"/>
      <c r="ES360" s="16"/>
      <c r="ET360" s="16"/>
      <c r="EU360" s="16"/>
      <c r="EV360" s="16"/>
      <c r="EW360" s="16"/>
      <c r="EX360" s="16"/>
      <c r="EY360" s="16"/>
      <c r="EZ360" s="16"/>
      <c r="FA360" s="16"/>
      <c r="FB360" s="16"/>
    </row>
    <row r="361" spans="1:158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70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25"/>
      <c r="AD361" s="26"/>
      <c r="AE361" s="26"/>
      <c r="AF361" s="26"/>
      <c r="AG361" s="25"/>
      <c r="AH361" s="26"/>
      <c r="AI361" s="26"/>
      <c r="AJ361" s="2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  <c r="EB361" s="16"/>
      <c r="EC361" s="16"/>
      <c r="ED361" s="16"/>
      <c r="EE361" s="16"/>
      <c r="EF361" s="16"/>
      <c r="EG361" s="16"/>
      <c r="EH361" s="16"/>
      <c r="EI361" s="16"/>
      <c r="EJ361" s="16"/>
      <c r="EK361" s="16"/>
      <c r="EL361" s="16"/>
      <c r="EM361" s="16"/>
      <c r="EN361" s="16"/>
      <c r="EO361" s="16"/>
      <c r="EP361" s="16"/>
      <c r="EQ361" s="16"/>
      <c r="ER361" s="16"/>
      <c r="ES361" s="16"/>
      <c r="ET361" s="16"/>
      <c r="EU361" s="16"/>
      <c r="EV361" s="16"/>
      <c r="EW361" s="16"/>
      <c r="EX361" s="16"/>
      <c r="EY361" s="16"/>
      <c r="EZ361" s="16"/>
      <c r="FA361" s="16"/>
      <c r="FB361" s="16"/>
    </row>
    <row r="362" spans="1:158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70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25"/>
      <c r="AD362" s="26"/>
      <c r="AE362" s="26"/>
      <c r="AF362" s="26"/>
      <c r="AG362" s="25"/>
      <c r="AH362" s="26"/>
      <c r="AI362" s="26"/>
      <c r="AJ362" s="2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16"/>
      <c r="EJ362" s="16"/>
      <c r="EK362" s="16"/>
      <c r="EL362" s="16"/>
      <c r="EM362" s="16"/>
      <c r="EN362" s="16"/>
      <c r="EO362" s="16"/>
      <c r="EP362" s="16"/>
      <c r="EQ362" s="16"/>
      <c r="ER362" s="16"/>
      <c r="ES362" s="16"/>
      <c r="ET362" s="16"/>
      <c r="EU362" s="16"/>
      <c r="EV362" s="16"/>
      <c r="EW362" s="16"/>
      <c r="EX362" s="16"/>
      <c r="EY362" s="16"/>
      <c r="EZ362" s="16"/>
      <c r="FA362" s="16"/>
      <c r="FB362" s="16"/>
    </row>
    <row r="363" spans="1:158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70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25"/>
      <c r="AD363" s="26"/>
      <c r="AE363" s="26"/>
      <c r="AF363" s="26"/>
      <c r="AG363" s="25"/>
      <c r="AH363" s="26"/>
      <c r="AI363" s="26"/>
      <c r="AJ363" s="2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  <c r="EB363" s="16"/>
      <c r="EC363" s="16"/>
      <c r="ED363" s="16"/>
      <c r="EE363" s="16"/>
      <c r="EF363" s="16"/>
      <c r="EG363" s="16"/>
      <c r="EH363" s="16"/>
      <c r="EI363" s="16"/>
      <c r="EJ363" s="16"/>
      <c r="EK363" s="16"/>
      <c r="EL363" s="16"/>
      <c r="EM363" s="16"/>
      <c r="EN363" s="16"/>
      <c r="EO363" s="16"/>
      <c r="EP363" s="16"/>
      <c r="EQ363" s="16"/>
      <c r="ER363" s="16"/>
      <c r="ES363" s="16"/>
      <c r="ET363" s="16"/>
      <c r="EU363" s="16"/>
      <c r="EV363" s="16"/>
      <c r="EW363" s="16"/>
      <c r="EX363" s="16"/>
      <c r="EY363" s="16"/>
      <c r="EZ363" s="16"/>
      <c r="FA363" s="16"/>
      <c r="FB363" s="16"/>
    </row>
    <row r="364" spans="1:158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70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25"/>
      <c r="AD364" s="26"/>
      <c r="AE364" s="26"/>
      <c r="AF364" s="26"/>
      <c r="AG364" s="25"/>
      <c r="AH364" s="26"/>
      <c r="AI364" s="26"/>
      <c r="AJ364" s="2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16"/>
      <c r="EJ364" s="16"/>
      <c r="EK364" s="16"/>
      <c r="EL364" s="16"/>
      <c r="EM364" s="16"/>
      <c r="EN364" s="16"/>
      <c r="EO364" s="16"/>
      <c r="EP364" s="16"/>
      <c r="EQ364" s="16"/>
      <c r="ER364" s="16"/>
      <c r="ES364" s="16"/>
      <c r="ET364" s="16"/>
      <c r="EU364" s="16"/>
      <c r="EV364" s="16"/>
      <c r="EW364" s="16"/>
      <c r="EX364" s="16"/>
      <c r="EY364" s="16"/>
      <c r="EZ364" s="16"/>
      <c r="FA364" s="16"/>
      <c r="FB364" s="16"/>
    </row>
    <row r="365" spans="1:158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70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25"/>
      <c r="AD365" s="26"/>
      <c r="AE365" s="26"/>
      <c r="AF365" s="26"/>
      <c r="AG365" s="25"/>
      <c r="AH365" s="26"/>
      <c r="AI365" s="26"/>
      <c r="AJ365" s="2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  <c r="EB365" s="16"/>
      <c r="EC365" s="16"/>
      <c r="ED365" s="16"/>
      <c r="EE365" s="16"/>
      <c r="EF365" s="16"/>
      <c r="EG365" s="16"/>
      <c r="EH365" s="16"/>
      <c r="EI365" s="16"/>
      <c r="EJ365" s="16"/>
      <c r="EK365" s="16"/>
      <c r="EL365" s="16"/>
      <c r="EM365" s="16"/>
      <c r="EN365" s="16"/>
      <c r="EO365" s="16"/>
      <c r="EP365" s="16"/>
      <c r="EQ365" s="16"/>
      <c r="ER365" s="16"/>
      <c r="ES365" s="16"/>
      <c r="ET365" s="16"/>
      <c r="EU365" s="16"/>
      <c r="EV365" s="16"/>
      <c r="EW365" s="16"/>
      <c r="EX365" s="16"/>
      <c r="EY365" s="16"/>
      <c r="EZ365" s="16"/>
      <c r="FA365" s="16"/>
      <c r="FB365" s="16"/>
    </row>
    <row r="366" spans="1:158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70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25"/>
      <c r="AD366" s="26"/>
      <c r="AE366" s="26"/>
      <c r="AF366" s="26"/>
      <c r="AG366" s="25"/>
      <c r="AH366" s="26"/>
      <c r="AI366" s="26"/>
      <c r="AJ366" s="2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16"/>
      <c r="EJ366" s="16"/>
      <c r="EK366" s="16"/>
      <c r="EL366" s="16"/>
      <c r="EM366" s="16"/>
      <c r="EN366" s="16"/>
      <c r="EO366" s="16"/>
      <c r="EP366" s="16"/>
      <c r="EQ366" s="16"/>
      <c r="ER366" s="16"/>
      <c r="ES366" s="16"/>
      <c r="ET366" s="16"/>
      <c r="EU366" s="16"/>
      <c r="EV366" s="16"/>
      <c r="EW366" s="16"/>
      <c r="EX366" s="16"/>
      <c r="EY366" s="16"/>
      <c r="EZ366" s="16"/>
      <c r="FA366" s="16"/>
      <c r="FB366" s="16"/>
    </row>
    <row r="367" spans="1:158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70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25"/>
      <c r="AD367" s="26"/>
      <c r="AE367" s="26"/>
      <c r="AF367" s="26"/>
      <c r="AG367" s="25"/>
      <c r="AH367" s="26"/>
      <c r="AI367" s="26"/>
      <c r="AJ367" s="2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  <c r="EB367" s="16"/>
      <c r="EC367" s="16"/>
      <c r="ED367" s="16"/>
      <c r="EE367" s="16"/>
      <c r="EF367" s="16"/>
      <c r="EG367" s="16"/>
      <c r="EH367" s="16"/>
      <c r="EI367" s="16"/>
      <c r="EJ367" s="16"/>
      <c r="EK367" s="16"/>
      <c r="EL367" s="16"/>
      <c r="EM367" s="16"/>
      <c r="EN367" s="16"/>
      <c r="EO367" s="16"/>
      <c r="EP367" s="16"/>
      <c r="EQ367" s="16"/>
      <c r="ER367" s="16"/>
      <c r="ES367" s="16"/>
      <c r="ET367" s="16"/>
      <c r="EU367" s="16"/>
      <c r="EV367" s="16"/>
      <c r="EW367" s="16"/>
      <c r="EX367" s="16"/>
      <c r="EY367" s="16"/>
      <c r="EZ367" s="16"/>
      <c r="FA367" s="16"/>
      <c r="FB367" s="16"/>
    </row>
    <row r="368" spans="1:158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70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25"/>
      <c r="AD368" s="26"/>
      <c r="AE368" s="26"/>
      <c r="AF368" s="26"/>
      <c r="AG368" s="25"/>
      <c r="AH368" s="26"/>
      <c r="AI368" s="26"/>
      <c r="AJ368" s="2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16"/>
      <c r="EJ368" s="16"/>
      <c r="EK368" s="16"/>
      <c r="EL368" s="16"/>
      <c r="EM368" s="16"/>
      <c r="EN368" s="16"/>
      <c r="EO368" s="16"/>
      <c r="EP368" s="16"/>
      <c r="EQ368" s="16"/>
      <c r="ER368" s="16"/>
      <c r="ES368" s="16"/>
      <c r="ET368" s="16"/>
      <c r="EU368" s="16"/>
      <c r="EV368" s="16"/>
      <c r="EW368" s="16"/>
      <c r="EX368" s="16"/>
      <c r="EY368" s="16"/>
      <c r="EZ368" s="16"/>
      <c r="FA368" s="16"/>
      <c r="FB368" s="16"/>
    </row>
    <row r="369" spans="1:158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70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25"/>
      <c r="AD369" s="26"/>
      <c r="AE369" s="26"/>
      <c r="AF369" s="26"/>
      <c r="AG369" s="25"/>
      <c r="AH369" s="26"/>
      <c r="AI369" s="26"/>
      <c r="AJ369" s="2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  <c r="EB369" s="16"/>
      <c r="EC369" s="16"/>
      <c r="ED369" s="16"/>
      <c r="EE369" s="16"/>
      <c r="EF369" s="16"/>
      <c r="EG369" s="16"/>
      <c r="EH369" s="16"/>
      <c r="EI369" s="16"/>
      <c r="EJ369" s="16"/>
      <c r="EK369" s="16"/>
      <c r="EL369" s="16"/>
      <c r="EM369" s="16"/>
      <c r="EN369" s="16"/>
      <c r="EO369" s="16"/>
      <c r="EP369" s="16"/>
      <c r="EQ369" s="16"/>
      <c r="ER369" s="16"/>
      <c r="ES369" s="16"/>
      <c r="ET369" s="16"/>
      <c r="EU369" s="16"/>
      <c r="EV369" s="16"/>
      <c r="EW369" s="16"/>
      <c r="EX369" s="16"/>
      <c r="EY369" s="16"/>
      <c r="EZ369" s="16"/>
      <c r="FA369" s="16"/>
      <c r="FB369" s="16"/>
    </row>
    <row r="370" spans="1:158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70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25"/>
      <c r="AD370" s="26"/>
      <c r="AE370" s="26"/>
      <c r="AF370" s="26"/>
      <c r="AG370" s="25"/>
      <c r="AH370" s="26"/>
      <c r="AI370" s="26"/>
      <c r="AJ370" s="2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16"/>
      <c r="EJ370" s="16"/>
      <c r="EK370" s="16"/>
      <c r="EL370" s="16"/>
      <c r="EM370" s="16"/>
      <c r="EN370" s="16"/>
      <c r="EO370" s="16"/>
      <c r="EP370" s="16"/>
      <c r="EQ370" s="16"/>
      <c r="ER370" s="16"/>
      <c r="ES370" s="16"/>
      <c r="ET370" s="16"/>
      <c r="EU370" s="16"/>
      <c r="EV370" s="16"/>
      <c r="EW370" s="16"/>
      <c r="EX370" s="16"/>
      <c r="EY370" s="16"/>
      <c r="EZ370" s="16"/>
      <c r="FA370" s="16"/>
      <c r="FB370" s="16"/>
    </row>
    <row r="371" spans="1:158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70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25"/>
      <c r="AD371" s="26"/>
      <c r="AE371" s="26"/>
      <c r="AF371" s="26"/>
      <c r="AG371" s="25"/>
      <c r="AH371" s="26"/>
      <c r="AI371" s="26"/>
      <c r="AJ371" s="2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  <c r="EB371" s="16"/>
      <c r="EC371" s="16"/>
      <c r="ED371" s="16"/>
      <c r="EE371" s="16"/>
      <c r="EF371" s="16"/>
      <c r="EG371" s="16"/>
      <c r="EH371" s="16"/>
      <c r="EI371" s="16"/>
      <c r="EJ371" s="16"/>
      <c r="EK371" s="16"/>
      <c r="EL371" s="16"/>
      <c r="EM371" s="16"/>
      <c r="EN371" s="16"/>
      <c r="EO371" s="16"/>
      <c r="EP371" s="16"/>
      <c r="EQ371" s="16"/>
      <c r="ER371" s="16"/>
      <c r="ES371" s="16"/>
      <c r="ET371" s="16"/>
      <c r="EU371" s="16"/>
      <c r="EV371" s="16"/>
      <c r="EW371" s="16"/>
      <c r="EX371" s="16"/>
      <c r="EY371" s="16"/>
      <c r="EZ371" s="16"/>
      <c r="FA371" s="16"/>
      <c r="FB371" s="16"/>
    </row>
    <row r="372" spans="1:158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70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25"/>
      <c r="AD372" s="26"/>
      <c r="AE372" s="26"/>
      <c r="AF372" s="26"/>
      <c r="AG372" s="25"/>
      <c r="AH372" s="26"/>
      <c r="AI372" s="26"/>
      <c r="AJ372" s="2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  <c r="EB372" s="16"/>
      <c r="EC372" s="16"/>
      <c r="ED372" s="16"/>
      <c r="EE372" s="16"/>
      <c r="EF372" s="16"/>
      <c r="EG372" s="16"/>
      <c r="EH372" s="16"/>
      <c r="EI372" s="16"/>
      <c r="EJ372" s="16"/>
      <c r="EK372" s="16"/>
      <c r="EL372" s="16"/>
      <c r="EM372" s="16"/>
      <c r="EN372" s="16"/>
      <c r="EO372" s="16"/>
      <c r="EP372" s="16"/>
      <c r="EQ372" s="16"/>
      <c r="ER372" s="16"/>
      <c r="ES372" s="16"/>
      <c r="ET372" s="16"/>
      <c r="EU372" s="16"/>
      <c r="EV372" s="16"/>
      <c r="EW372" s="16"/>
      <c r="EX372" s="16"/>
      <c r="EY372" s="16"/>
      <c r="EZ372" s="16"/>
      <c r="FA372" s="16"/>
      <c r="FB372" s="16"/>
    </row>
    <row r="373" spans="1:158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70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25"/>
      <c r="AD373" s="26"/>
      <c r="AE373" s="26"/>
      <c r="AF373" s="26"/>
      <c r="AG373" s="25"/>
      <c r="AH373" s="26"/>
      <c r="AI373" s="26"/>
      <c r="AJ373" s="2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16"/>
      <c r="EJ373" s="16"/>
      <c r="EK373" s="16"/>
      <c r="EL373" s="16"/>
      <c r="EM373" s="16"/>
      <c r="EN373" s="16"/>
      <c r="EO373" s="16"/>
      <c r="EP373" s="16"/>
      <c r="EQ373" s="16"/>
      <c r="ER373" s="16"/>
      <c r="ES373" s="16"/>
      <c r="ET373" s="16"/>
      <c r="EU373" s="16"/>
      <c r="EV373" s="16"/>
      <c r="EW373" s="16"/>
      <c r="EX373" s="16"/>
      <c r="EY373" s="16"/>
      <c r="EZ373" s="16"/>
      <c r="FA373" s="16"/>
      <c r="FB373" s="16"/>
    </row>
    <row r="374" spans="1:158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70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25"/>
      <c r="AD374" s="26"/>
      <c r="AE374" s="26"/>
      <c r="AF374" s="26"/>
      <c r="AG374" s="25"/>
      <c r="AH374" s="26"/>
      <c r="AI374" s="26"/>
      <c r="AJ374" s="2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  <c r="EB374" s="16"/>
      <c r="EC374" s="16"/>
      <c r="ED374" s="16"/>
      <c r="EE374" s="16"/>
      <c r="EF374" s="16"/>
      <c r="EG374" s="16"/>
      <c r="EH374" s="16"/>
      <c r="EI374" s="16"/>
      <c r="EJ374" s="16"/>
      <c r="EK374" s="16"/>
      <c r="EL374" s="16"/>
      <c r="EM374" s="16"/>
      <c r="EN374" s="16"/>
      <c r="EO374" s="16"/>
      <c r="EP374" s="16"/>
      <c r="EQ374" s="16"/>
      <c r="ER374" s="16"/>
      <c r="ES374" s="16"/>
      <c r="ET374" s="16"/>
      <c r="EU374" s="16"/>
      <c r="EV374" s="16"/>
      <c r="EW374" s="16"/>
      <c r="EX374" s="16"/>
      <c r="EY374" s="16"/>
      <c r="EZ374" s="16"/>
      <c r="FA374" s="16"/>
      <c r="FB374" s="16"/>
    </row>
    <row r="375" spans="1:158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70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25"/>
      <c r="AD375" s="26"/>
      <c r="AE375" s="26"/>
      <c r="AF375" s="26"/>
      <c r="AG375" s="25"/>
      <c r="AH375" s="26"/>
      <c r="AI375" s="26"/>
      <c r="AJ375" s="2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16"/>
      <c r="EJ375" s="16"/>
      <c r="EK375" s="16"/>
      <c r="EL375" s="16"/>
      <c r="EM375" s="16"/>
      <c r="EN375" s="16"/>
      <c r="EO375" s="16"/>
      <c r="EP375" s="16"/>
      <c r="EQ375" s="16"/>
      <c r="ER375" s="16"/>
      <c r="ES375" s="16"/>
      <c r="ET375" s="16"/>
      <c r="EU375" s="16"/>
      <c r="EV375" s="16"/>
      <c r="EW375" s="16"/>
      <c r="EX375" s="16"/>
      <c r="EY375" s="16"/>
      <c r="EZ375" s="16"/>
      <c r="FA375" s="16"/>
      <c r="FB375" s="16"/>
    </row>
    <row r="376" spans="1:158">
      <c r="A376" s="16"/>
      <c r="B376" s="13"/>
      <c r="C376" s="14"/>
      <c r="D376" s="14"/>
      <c r="E376" s="14"/>
      <c r="F376" s="14"/>
      <c r="G376" s="14"/>
      <c r="H376" s="14"/>
      <c r="I376" s="14"/>
      <c r="J376" s="14"/>
      <c r="K376" s="67"/>
      <c r="L376" s="15"/>
      <c r="M376" s="16"/>
      <c r="N376" s="16"/>
      <c r="O376" s="16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7"/>
      <c r="AC376" s="20"/>
      <c r="AD376" s="16"/>
      <c r="AE376" s="16"/>
      <c r="AF376" s="16"/>
      <c r="AG376" s="16"/>
      <c r="AH376" s="16"/>
      <c r="AI376" s="16"/>
      <c r="AJ376" s="16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  <c r="BI376" s="17"/>
      <c r="BJ376" s="17"/>
      <c r="BK376" s="17"/>
      <c r="BL376" s="17"/>
      <c r="BM376" s="17"/>
      <c r="BN376" s="17"/>
      <c r="BO376" s="17"/>
      <c r="BP376" s="17"/>
      <c r="BQ376" s="17"/>
      <c r="BR376" s="17"/>
      <c r="BS376" s="17"/>
      <c r="BT376" s="17"/>
      <c r="BU376" s="17"/>
      <c r="BV376" s="17"/>
      <c r="BW376" s="17"/>
      <c r="BX376" s="17"/>
      <c r="BY376" s="17"/>
      <c r="BZ376" s="17"/>
      <c r="CA376" s="17"/>
      <c r="CB376" s="17"/>
      <c r="CC376" s="17"/>
      <c r="CD376" s="17"/>
      <c r="CE376" s="17"/>
      <c r="CF376" s="1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  <c r="CR376" s="17"/>
      <c r="CS376" s="17"/>
      <c r="CT376" s="17"/>
      <c r="CU376" s="17"/>
      <c r="CV376" s="17"/>
      <c r="CW376" s="17"/>
      <c r="CX376" s="17"/>
      <c r="CY376" s="17"/>
      <c r="CZ376" s="17"/>
      <c r="DA376" s="17"/>
      <c r="DB376" s="17"/>
      <c r="DC376" s="17"/>
      <c r="DD376" s="17"/>
      <c r="DE376" s="17"/>
      <c r="DF376" s="17"/>
      <c r="DG376" s="17"/>
      <c r="DH376" s="17"/>
      <c r="DI376" s="17"/>
      <c r="DJ376" s="17"/>
      <c r="DK376" s="17"/>
      <c r="DL376" s="17"/>
      <c r="DM376" s="17"/>
      <c r="DN376" s="17"/>
      <c r="DO376" s="17"/>
      <c r="DP376" s="17"/>
      <c r="DQ376" s="17"/>
      <c r="DR376" s="17"/>
      <c r="DS376" s="17"/>
      <c r="DT376" s="17"/>
      <c r="DU376" s="17"/>
      <c r="DV376" s="17"/>
      <c r="DW376" s="17"/>
      <c r="DX376" s="17"/>
      <c r="DY376" s="17"/>
      <c r="DZ376" s="17"/>
      <c r="EA376" s="17"/>
      <c r="EB376" s="17"/>
      <c r="EC376" s="17"/>
      <c r="ED376" s="17"/>
      <c r="EE376" s="17"/>
      <c r="EF376" s="17"/>
      <c r="EG376" s="17"/>
      <c r="EH376" s="17"/>
      <c r="EI376" s="17"/>
      <c r="EJ376" s="17"/>
      <c r="EK376" s="17"/>
      <c r="EL376" s="17"/>
      <c r="EM376" s="17"/>
      <c r="EN376" s="17"/>
      <c r="EO376" s="17"/>
      <c r="EP376" s="17"/>
      <c r="EQ376" s="17"/>
      <c r="ER376" s="17"/>
      <c r="ES376" s="17"/>
      <c r="ET376" s="17"/>
      <c r="EU376" s="17"/>
      <c r="EV376" s="17"/>
      <c r="EW376" s="17"/>
      <c r="EX376" s="17"/>
      <c r="EY376" s="17"/>
      <c r="EZ376" s="17"/>
      <c r="FA376" s="17"/>
      <c r="FB376" s="17"/>
    </row>
    <row r="377" spans="1:158">
      <c r="A377" s="16"/>
      <c r="B377" s="13"/>
      <c r="C377" s="14"/>
      <c r="D377" s="14"/>
      <c r="E377" s="14"/>
      <c r="F377" s="14"/>
      <c r="G377" s="14"/>
      <c r="H377" s="14"/>
      <c r="I377" s="14"/>
      <c r="J377" s="14"/>
      <c r="K377" s="67"/>
      <c r="L377" s="15"/>
      <c r="M377" s="16"/>
      <c r="N377" s="16"/>
      <c r="O377" s="16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7"/>
      <c r="AC377" s="20"/>
      <c r="AD377" s="16"/>
      <c r="AE377" s="16"/>
      <c r="AF377" s="16"/>
      <c r="AG377" s="16"/>
      <c r="AH377" s="16"/>
      <c r="AI377" s="16"/>
      <c r="AJ377" s="16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  <c r="BI377" s="17"/>
      <c r="BJ377" s="17"/>
      <c r="BK377" s="17"/>
      <c r="BL377" s="17"/>
      <c r="BM377" s="17"/>
      <c r="BN377" s="17"/>
      <c r="BO377" s="17"/>
      <c r="BP377" s="17"/>
      <c r="BQ377" s="17"/>
      <c r="BR377" s="17"/>
      <c r="BS377" s="17"/>
      <c r="BT377" s="17"/>
      <c r="BU377" s="17"/>
      <c r="BV377" s="17"/>
      <c r="BW377" s="17"/>
      <c r="BX377" s="17"/>
      <c r="BY377" s="17"/>
      <c r="BZ377" s="17"/>
      <c r="CA377" s="17"/>
      <c r="CB377" s="17"/>
      <c r="CC377" s="17"/>
      <c r="CD377" s="17"/>
      <c r="CE377" s="17"/>
      <c r="CF377" s="1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  <c r="CY377" s="17"/>
      <c r="CZ377" s="17"/>
      <c r="DA377" s="17"/>
      <c r="DB377" s="17"/>
      <c r="DC377" s="17"/>
      <c r="DD377" s="17"/>
      <c r="DE377" s="17"/>
      <c r="DF377" s="17"/>
      <c r="DG377" s="17"/>
      <c r="DH377" s="17"/>
      <c r="DI377" s="17"/>
      <c r="DJ377" s="17"/>
      <c r="DK377" s="17"/>
      <c r="DL377" s="17"/>
      <c r="DM377" s="17"/>
      <c r="DN377" s="17"/>
      <c r="DO377" s="17"/>
      <c r="DP377" s="17"/>
      <c r="DQ377" s="17"/>
      <c r="DR377" s="17"/>
      <c r="DS377" s="17"/>
      <c r="DT377" s="17"/>
      <c r="DU377" s="17"/>
      <c r="DV377" s="17"/>
      <c r="DW377" s="17"/>
      <c r="DX377" s="17"/>
      <c r="DY377" s="17"/>
      <c r="DZ377" s="17"/>
      <c r="EA377" s="17"/>
      <c r="EB377" s="17"/>
      <c r="EC377" s="17"/>
      <c r="ED377" s="17"/>
      <c r="EE377" s="17"/>
      <c r="EF377" s="17"/>
      <c r="EG377" s="17"/>
      <c r="EH377" s="17"/>
      <c r="EI377" s="17"/>
      <c r="EJ377" s="17"/>
      <c r="EK377" s="17"/>
      <c r="EL377" s="17"/>
      <c r="EM377" s="17"/>
      <c r="EN377" s="17"/>
      <c r="EO377" s="17"/>
      <c r="EP377" s="17"/>
      <c r="EQ377" s="17"/>
      <c r="ER377" s="17"/>
      <c r="ES377" s="17"/>
      <c r="ET377" s="17"/>
      <c r="EU377" s="17"/>
      <c r="EV377" s="17"/>
      <c r="EW377" s="17"/>
      <c r="EX377" s="17"/>
      <c r="EY377" s="17"/>
      <c r="EZ377" s="17"/>
      <c r="FA377" s="17"/>
      <c r="FB377" s="17"/>
    </row>
    <row r="378" spans="1:158">
      <c r="A378" s="16"/>
      <c r="B378" s="13"/>
      <c r="C378" s="14"/>
      <c r="D378" s="14"/>
      <c r="E378" s="14"/>
      <c r="F378" s="14"/>
      <c r="G378" s="14"/>
      <c r="H378" s="14"/>
      <c r="I378" s="14"/>
      <c r="J378" s="14"/>
      <c r="K378" s="67"/>
      <c r="L378" s="15"/>
      <c r="M378" s="16"/>
      <c r="N378" s="16"/>
      <c r="O378" s="16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7"/>
      <c r="AC378" s="20"/>
      <c r="AD378" s="16"/>
      <c r="AE378" s="16"/>
      <c r="AF378" s="16"/>
      <c r="AG378" s="16"/>
      <c r="AH378" s="16"/>
      <c r="AI378" s="16"/>
      <c r="AJ378" s="16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  <c r="BI378" s="17"/>
      <c r="BJ378" s="17"/>
      <c r="BK378" s="17"/>
      <c r="BL378" s="17"/>
      <c r="BM378" s="17"/>
      <c r="BN378" s="17"/>
      <c r="BO378" s="17"/>
      <c r="BP378" s="17"/>
      <c r="BQ378" s="17"/>
      <c r="BR378" s="17"/>
      <c r="BS378" s="17"/>
      <c r="BT378" s="17"/>
      <c r="BU378" s="17"/>
      <c r="BV378" s="17"/>
      <c r="BW378" s="17"/>
      <c r="BX378" s="17"/>
      <c r="BY378" s="17"/>
      <c r="BZ378" s="17"/>
      <c r="CA378" s="17"/>
      <c r="CB378" s="17"/>
      <c r="CC378" s="17"/>
      <c r="CD378" s="17"/>
      <c r="CE378" s="17"/>
      <c r="CF378" s="1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  <c r="CY378" s="17"/>
      <c r="CZ378" s="17"/>
      <c r="DA378" s="17"/>
      <c r="DB378" s="17"/>
      <c r="DC378" s="17"/>
      <c r="DD378" s="17"/>
      <c r="DE378" s="17"/>
      <c r="DF378" s="17"/>
      <c r="DG378" s="17"/>
      <c r="DH378" s="17"/>
      <c r="DI378" s="17"/>
      <c r="DJ378" s="17"/>
      <c r="DK378" s="17"/>
      <c r="DL378" s="17"/>
      <c r="DM378" s="17"/>
      <c r="DN378" s="17"/>
      <c r="DO378" s="17"/>
      <c r="DP378" s="17"/>
      <c r="DQ378" s="17"/>
      <c r="DR378" s="17"/>
      <c r="DS378" s="17"/>
      <c r="DT378" s="17"/>
      <c r="DU378" s="17"/>
      <c r="DV378" s="17"/>
      <c r="DW378" s="17"/>
      <c r="DX378" s="17"/>
      <c r="DY378" s="17"/>
      <c r="DZ378" s="17"/>
      <c r="EA378" s="17"/>
      <c r="EB378" s="17"/>
      <c r="EC378" s="17"/>
      <c r="ED378" s="17"/>
      <c r="EE378" s="17"/>
      <c r="EF378" s="17"/>
      <c r="EG378" s="17"/>
      <c r="EH378" s="17"/>
      <c r="EI378" s="17"/>
      <c r="EJ378" s="17"/>
      <c r="EK378" s="17"/>
      <c r="EL378" s="17"/>
      <c r="EM378" s="17"/>
      <c r="EN378" s="17"/>
      <c r="EO378" s="17"/>
      <c r="EP378" s="17"/>
      <c r="EQ378" s="17"/>
      <c r="ER378" s="17"/>
      <c r="ES378" s="17"/>
      <c r="ET378" s="17"/>
      <c r="EU378" s="17"/>
      <c r="EV378" s="17"/>
      <c r="EW378" s="17"/>
      <c r="EX378" s="17"/>
      <c r="EY378" s="17"/>
      <c r="EZ378" s="17"/>
      <c r="FA378" s="17"/>
      <c r="FB378" s="17"/>
    </row>
    <row r="379" spans="1:158">
      <c r="A379" s="16"/>
      <c r="B379" s="13"/>
      <c r="C379" s="14"/>
      <c r="D379" s="14"/>
      <c r="E379" s="14"/>
      <c r="F379" s="14"/>
      <c r="G379" s="14"/>
      <c r="H379" s="14"/>
      <c r="I379" s="14"/>
      <c r="J379" s="14"/>
      <c r="K379" s="67"/>
      <c r="L379" s="15"/>
      <c r="M379" s="16"/>
      <c r="N379" s="16"/>
      <c r="O379" s="16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7"/>
      <c r="AC379" s="20"/>
      <c r="AD379" s="16"/>
      <c r="AE379" s="16"/>
      <c r="AF379" s="16"/>
      <c r="AG379" s="16"/>
      <c r="AH379" s="16"/>
      <c r="AI379" s="16"/>
      <c r="AJ379" s="16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  <c r="BI379" s="17"/>
      <c r="BJ379" s="17"/>
      <c r="BK379" s="17"/>
      <c r="BL379" s="17"/>
      <c r="BM379" s="17"/>
      <c r="BN379" s="17"/>
      <c r="BO379" s="17"/>
      <c r="BP379" s="17"/>
      <c r="BQ379" s="17"/>
      <c r="BR379" s="17"/>
      <c r="BS379" s="17"/>
      <c r="BT379" s="17"/>
      <c r="BU379" s="17"/>
      <c r="BV379" s="17"/>
      <c r="BW379" s="17"/>
      <c r="BX379" s="17"/>
      <c r="BY379" s="17"/>
      <c r="BZ379" s="17"/>
      <c r="CA379" s="17"/>
      <c r="CB379" s="17"/>
      <c r="CC379" s="17"/>
      <c r="CD379" s="17"/>
      <c r="CE379" s="17"/>
      <c r="CF379" s="1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  <c r="CR379" s="17"/>
      <c r="CS379" s="17"/>
      <c r="CT379" s="17"/>
      <c r="CU379" s="17"/>
      <c r="CV379" s="17"/>
      <c r="CW379" s="17"/>
      <c r="CX379" s="17"/>
      <c r="CY379" s="17"/>
      <c r="CZ379" s="17"/>
      <c r="DA379" s="17"/>
      <c r="DB379" s="17"/>
      <c r="DC379" s="17"/>
      <c r="DD379" s="17"/>
      <c r="DE379" s="17"/>
      <c r="DF379" s="17"/>
      <c r="DG379" s="17"/>
      <c r="DH379" s="17"/>
      <c r="DI379" s="17"/>
      <c r="DJ379" s="17"/>
      <c r="DK379" s="17"/>
      <c r="DL379" s="17"/>
      <c r="DM379" s="17"/>
      <c r="DN379" s="17"/>
      <c r="DO379" s="17"/>
      <c r="DP379" s="17"/>
      <c r="DQ379" s="17"/>
      <c r="DR379" s="17"/>
      <c r="DS379" s="17"/>
      <c r="DT379" s="17"/>
      <c r="DU379" s="17"/>
      <c r="DV379" s="17"/>
      <c r="DW379" s="17"/>
      <c r="DX379" s="17"/>
      <c r="DY379" s="17"/>
      <c r="DZ379" s="17"/>
      <c r="EA379" s="17"/>
      <c r="EB379" s="17"/>
      <c r="EC379" s="17"/>
      <c r="ED379" s="17"/>
      <c r="EE379" s="17"/>
      <c r="EF379" s="17"/>
      <c r="EG379" s="17"/>
      <c r="EH379" s="17"/>
      <c r="EI379" s="17"/>
      <c r="EJ379" s="17"/>
      <c r="EK379" s="17"/>
      <c r="EL379" s="17"/>
      <c r="EM379" s="17"/>
      <c r="EN379" s="17"/>
      <c r="EO379" s="17"/>
      <c r="EP379" s="17"/>
      <c r="EQ379" s="17"/>
      <c r="ER379" s="17"/>
      <c r="ES379" s="17"/>
      <c r="ET379" s="17"/>
      <c r="EU379" s="17"/>
      <c r="EV379" s="17"/>
      <c r="EW379" s="17"/>
      <c r="EX379" s="17"/>
      <c r="EY379" s="17"/>
      <c r="EZ379" s="17"/>
      <c r="FA379" s="17"/>
      <c r="FB379" s="17"/>
    </row>
    <row r="380" spans="1:158">
      <c r="A380" s="16"/>
      <c r="B380" s="13"/>
      <c r="C380" s="14"/>
      <c r="D380" s="14"/>
      <c r="E380" s="14"/>
      <c r="F380" s="14"/>
      <c r="G380" s="14"/>
      <c r="H380" s="14"/>
      <c r="I380" s="14"/>
      <c r="J380" s="14"/>
      <c r="K380" s="67"/>
      <c r="L380" s="15"/>
      <c r="M380" s="16"/>
      <c r="N380" s="16"/>
      <c r="O380" s="16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7"/>
      <c r="AC380" s="20"/>
      <c r="AD380" s="16"/>
      <c r="AE380" s="16"/>
      <c r="AF380" s="16"/>
      <c r="AG380" s="16"/>
      <c r="AH380" s="16"/>
      <c r="AI380" s="16"/>
      <c r="AJ380" s="16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  <c r="BI380" s="17"/>
      <c r="BJ380" s="17"/>
      <c r="BK380" s="17"/>
      <c r="BL380" s="17"/>
      <c r="BM380" s="17"/>
      <c r="BN380" s="17"/>
      <c r="BO380" s="17"/>
      <c r="BP380" s="17"/>
      <c r="BQ380" s="17"/>
      <c r="BR380" s="17"/>
      <c r="BS380" s="17"/>
      <c r="BT380" s="17"/>
      <c r="BU380" s="17"/>
      <c r="BV380" s="17"/>
      <c r="BW380" s="17"/>
      <c r="BX380" s="17"/>
      <c r="BY380" s="17"/>
      <c r="BZ380" s="17"/>
      <c r="CA380" s="17"/>
      <c r="CB380" s="17"/>
      <c r="CC380" s="17"/>
      <c r="CD380" s="17"/>
      <c r="CE380" s="17"/>
      <c r="CF380" s="1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  <c r="CR380" s="17"/>
      <c r="CS380" s="17"/>
      <c r="CT380" s="17"/>
      <c r="CU380" s="17"/>
      <c r="CV380" s="17"/>
      <c r="CW380" s="17"/>
      <c r="CX380" s="17"/>
      <c r="CY380" s="17"/>
      <c r="CZ380" s="17"/>
      <c r="DA380" s="17"/>
      <c r="DB380" s="17"/>
      <c r="DC380" s="17"/>
      <c r="DD380" s="17"/>
      <c r="DE380" s="17"/>
      <c r="DF380" s="17"/>
      <c r="DG380" s="17"/>
      <c r="DH380" s="17"/>
      <c r="DI380" s="17"/>
      <c r="DJ380" s="17"/>
      <c r="DK380" s="17"/>
      <c r="DL380" s="17"/>
      <c r="DM380" s="17"/>
      <c r="DN380" s="17"/>
      <c r="DO380" s="17"/>
      <c r="DP380" s="17"/>
      <c r="DQ380" s="17"/>
      <c r="DR380" s="17"/>
      <c r="DS380" s="17"/>
      <c r="DT380" s="17"/>
      <c r="DU380" s="17"/>
      <c r="DV380" s="17"/>
      <c r="DW380" s="17"/>
      <c r="DX380" s="17"/>
      <c r="DY380" s="17"/>
      <c r="DZ380" s="17"/>
      <c r="EA380" s="17"/>
      <c r="EB380" s="17"/>
      <c r="EC380" s="17"/>
      <c r="ED380" s="17"/>
      <c r="EE380" s="17"/>
      <c r="EF380" s="17"/>
      <c r="EG380" s="17"/>
      <c r="EH380" s="17"/>
      <c r="EI380" s="17"/>
      <c r="EJ380" s="17"/>
      <c r="EK380" s="17"/>
      <c r="EL380" s="17"/>
      <c r="EM380" s="17"/>
      <c r="EN380" s="17"/>
      <c r="EO380" s="17"/>
      <c r="EP380" s="17"/>
      <c r="EQ380" s="17"/>
      <c r="ER380" s="17"/>
      <c r="ES380" s="17"/>
      <c r="ET380" s="17"/>
      <c r="EU380" s="17"/>
      <c r="EV380" s="17"/>
      <c r="EW380" s="17"/>
      <c r="EX380" s="17"/>
      <c r="EY380" s="17"/>
      <c r="EZ380" s="17"/>
      <c r="FA380" s="17"/>
      <c r="FB380" s="17"/>
    </row>
  </sheetData>
  <sortState ref="A7:AB41">
    <sortCondition ref="A7:A41"/>
    <sortCondition ref="B7:B41"/>
    <sortCondition ref="K7:K41"/>
  </sortState>
  <mergeCells count="6">
    <mergeCell ref="W7:Y7"/>
    <mergeCell ref="Z7:AA7"/>
    <mergeCell ref="A7:K7"/>
    <mergeCell ref="L7:N7"/>
    <mergeCell ref="O7:S7"/>
    <mergeCell ref="T7:V7"/>
  </mergeCells>
  <pageMargins left="0.5" right="0.5" top="0.75" bottom="1" header="0.3" footer="0.3"/>
  <pageSetup orientation="landscape" horizontalDpi="300" verticalDpi="300" r:id="rId1"/>
  <headerFooter>
    <oddFooter>&amp;L&amp;"-,Regular"&amp;9Page &amp;P of &amp;N&amp;C&amp;"-,Regular"&amp;9CONFINDENTIAL | Disputed Invoice Anaylsis&amp;R&amp;"-,Regular"&amp;9&amp;D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5"/>
    <pageSetUpPr autoPageBreaks="0"/>
  </sheetPr>
  <dimension ref="A1:K77"/>
  <sheetViews>
    <sheetView showGridLines="0" workbookViewId="0"/>
  </sheetViews>
  <sheetFormatPr defaultRowHeight="15"/>
  <cols>
    <col min="1" max="1" width="54.140625" customWidth="1"/>
    <col min="2" max="5" width="15.7109375" style="1" customWidth="1"/>
    <col min="6" max="6" width="17.28515625" style="1" customWidth="1"/>
  </cols>
  <sheetData>
    <row r="1" spans="1:11" s="70" customFormat="1" ht="15.75">
      <c r="A1" s="50" t="str">
        <f>'Disputed Invoice Detail'!A1</f>
        <v>[Company Name]</v>
      </c>
      <c r="B1" s="81"/>
      <c r="C1" s="81"/>
      <c r="D1" s="81"/>
      <c r="E1" s="81"/>
      <c r="F1" s="81"/>
    </row>
    <row r="2" spans="1:11" s="70" customFormat="1" ht="15" customHeight="1">
      <c r="A2" s="12" t="s">
        <v>119</v>
      </c>
      <c r="B2" s="72">
        <f ca="1">'Disputed Invoice Detail'!B2</f>
        <v>39034</v>
      </c>
      <c r="C2" s="81"/>
      <c r="D2" s="81"/>
      <c r="E2" s="81"/>
      <c r="F2" s="81"/>
    </row>
    <row r="3" spans="1:11" s="70" customFormat="1">
      <c r="A3" s="12" t="s">
        <v>120</v>
      </c>
      <c r="B3" s="80" t="str">
        <f xml:space="preserve"> 'Disputed Invoice Detail'!B3</f>
        <v>[name]</v>
      </c>
      <c r="D3" s="81"/>
      <c r="E3" s="81"/>
      <c r="F3" s="81"/>
    </row>
    <row r="4" spans="1:11" s="70" customFormat="1" ht="42" customHeight="1">
      <c r="A4" s="97" t="s">
        <v>81</v>
      </c>
      <c r="B4" s="81"/>
      <c r="C4" s="81"/>
      <c r="D4" s="81"/>
      <c r="E4" s="81"/>
      <c r="F4" s="81"/>
    </row>
    <row r="5" spans="1:11" s="70" customFormat="1" ht="13.5" customHeight="1">
      <c r="A5" s="105"/>
      <c r="B5" s="105"/>
      <c r="C5" s="105"/>
      <c r="D5" s="105"/>
      <c r="E5" s="105"/>
      <c r="F5" s="105"/>
    </row>
    <row r="6" spans="1:11" s="70" customFormat="1" ht="28.7" customHeight="1" thickBot="1">
      <c r="A6" s="96" t="s">
        <v>113</v>
      </c>
      <c r="B6" s="96"/>
      <c r="C6" s="96"/>
      <c r="D6" s="96"/>
      <c r="E6" s="96"/>
      <c r="F6" s="96"/>
      <c r="G6" s="96"/>
      <c r="H6" s="95"/>
      <c r="I6" s="95"/>
      <c r="J6" s="95"/>
      <c r="K6" s="95"/>
    </row>
    <row r="7" spans="1:11" s="82" customFormat="1" ht="16.5" customHeight="1" thickTop="1">
      <c r="A7" s="106" t="s">
        <v>108</v>
      </c>
      <c r="B7" s="107" t="s">
        <v>62</v>
      </c>
      <c r="C7" s="107" t="s">
        <v>63</v>
      </c>
      <c r="D7" s="107" t="s">
        <v>64</v>
      </c>
      <c r="E7" s="107" t="s">
        <v>65</v>
      </c>
      <c r="F7" s="107" t="s">
        <v>72</v>
      </c>
    </row>
    <row r="8" spans="1:11" s="84" customFormat="1" ht="15" customHeight="1">
      <c r="A8" s="83" t="s">
        <v>58</v>
      </c>
      <c r="B8" s="53">
        <f ca="1">SUM(IF(FREQUENCY('Disputed Invoice Detail'!AC9:AC10000,'Disputed Invoice Detail'!AC9:AC10000)&gt;0,1))</f>
        <v>0</v>
      </c>
      <c r="C8" s="53">
        <f ca="1">SUM(IF(FREQUENCY('Disputed Invoice Detail'!$AD$9:$AD$10000,'Disputed Invoice Detail'!$AD$9:$AD$10000)&gt;0,1))</f>
        <v>0</v>
      </c>
      <c r="D8" s="53">
        <f ca="1">SUM(IF(FREQUENCY('Disputed Invoice Detail'!$AE$9:$AE$10000,'Disputed Invoice Detail'!$AE$9:$AE$10000)&gt;0,1))</f>
        <v>0</v>
      </c>
      <c r="E8" s="53">
        <f ca="1">SUM(IF(FREQUENCY('Disputed Invoice Detail'!$AF$9:$AF$10000,'Disputed Invoice Detail'!$AF$9:$AF$10000)&gt;0,1))</f>
        <v>21</v>
      </c>
      <c r="F8" s="54">
        <f ca="1">SUM(B8:E8)</f>
        <v>21</v>
      </c>
    </row>
    <row r="9" spans="1:11" s="84" customFormat="1" ht="15" customHeight="1">
      <c r="A9" s="83" t="s">
        <v>60</v>
      </c>
      <c r="B9" s="73">
        <f ca="1">COUNTIFS('Disputed Invoice Detail'!$K$9:$K$10000,"&lt;30")</f>
        <v>0</v>
      </c>
      <c r="C9" s="73">
        <f ca="1">COUNTIFS('Disputed Invoice Detail'!$K$9:$K$10000,"&gt;=30",'Disputed Invoice Detail'!$K$9:$K$10000,"&lt;61")</f>
        <v>0</v>
      </c>
      <c r="D9" s="73">
        <f ca="1">COUNTIFS('Disputed Invoice Detail'!$K$9:$K$10000,"&gt;60",'Disputed Invoice Detail'!$K$9:$K$10000,"&lt;91")</f>
        <v>0</v>
      </c>
      <c r="E9" s="73">
        <f ca="1">COUNTIFS('Disputed Invoice Detail'!$K$9:$K$10000,"&gt;90")</f>
        <v>24</v>
      </c>
      <c r="F9" s="55">
        <f ca="1">SUM(B9:E9)</f>
        <v>24</v>
      </c>
    </row>
    <row r="10" spans="1:11" s="85" customFormat="1" ht="16.5" customHeight="1">
      <c r="A10" s="83" t="s">
        <v>59</v>
      </c>
      <c r="B10" s="78">
        <f ca="1">SUMIFS('Disputed Invoice Detail'!$V$9:$V$300,'Disputed Invoice Detail'!$K$9:$K$300,"&lt;30")</f>
        <v>0</v>
      </c>
      <c r="C10" s="78">
        <f ca="1">SUMIFS('Disputed Invoice Detail'!$V$9:$V$300,'Disputed Invoice Detail'!$K$9:$K$300,"&gt;=30",'Disputed Invoice Detail'!$K$9:$K$300,"&lt;61")</f>
        <v>0</v>
      </c>
      <c r="D10" s="78">
        <f ca="1">SUMIFS('Disputed Invoice Detail'!$V$9:$V$300,'Disputed Invoice Detail'!$K$9:$K$300,"&gt;=61",'Disputed Invoice Detail'!$K$9:$K$300,"&lt;91")</f>
        <v>0</v>
      </c>
      <c r="E10" s="78">
        <f ca="1">SUMIFS('Disputed Invoice Detail'!$V$9:$V$300,'Disputed Invoice Detail'!$K$9:$K300,"&gt;90")</f>
        <v>18180.099999999999</v>
      </c>
      <c r="F10" s="79">
        <f ca="1">SUM(B10:E10)</f>
        <v>18180.099999999999</v>
      </c>
    </row>
    <row r="11" spans="1:11" s="84" customFormat="1" ht="15" customHeight="1">
      <c r="A11" s="83" t="s">
        <v>61</v>
      </c>
      <c r="B11" s="53">
        <f ca="1">SUM(IF(FREQUENCY('Disputed Invoice Detail'!$AG$9:$AG$10000,'Disputed Invoice Detail'!$AG$9:$AG$10000)&gt;0,1))</f>
        <v>0</v>
      </c>
      <c r="C11" s="56">
        <f ca="1">SUM(IF(FREQUENCY('Disputed Invoice Detail'!$AH$9:$AH$10000,'Disputed Invoice Detail'!$AH$9:$AH$10000)&gt;0,1))</f>
        <v>0</v>
      </c>
      <c r="D11" s="56">
        <f ca="1">SUM(IF(FREQUENCY('Disputed Invoice Detail'!$AI$9:$AI$10000,'Disputed Invoice Detail'!$AI$9:$AI$10000)&gt;0,1))</f>
        <v>0</v>
      </c>
      <c r="E11" s="56">
        <f ca="1">SUM(IF(FREQUENCY('Disputed Invoice Detail'!$AJ$9:$AJ$32,'Disputed Invoice Detail'!$AJ$9:$AJ$32)&gt;0,1))</f>
        <v>14</v>
      </c>
      <c r="F11" s="54">
        <f ca="1">SUM(B11:E11)</f>
        <v>14</v>
      </c>
    </row>
    <row r="12" spans="1:11" s="84" customFormat="1" ht="15" customHeight="1">
      <c r="A12" s="83" t="s">
        <v>107</v>
      </c>
      <c r="B12" s="57">
        <f ca="1">SUMIFS('Disputed Invoice Detail'!J9:J300,'Disputed Invoice Detail'!I9:I300,"&gt;0")</f>
        <v>0</v>
      </c>
      <c r="C12" s="57" t="s">
        <v>17</v>
      </c>
      <c r="D12" s="57" t="s">
        <v>17</v>
      </c>
      <c r="E12" s="57" t="s">
        <v>17</v>
      </c>
      <c r="F12" s="58">
        <f ca="1">SUM(B12:E12)</f>
        <v>0</v>
      </c>
    </row>
    <row r="13" spans="1:11" s="86" customFormat="1" ht="15" customHeight="1" thickBot="1">
      <c r="A13" s="108"/>
      <c r="B13" s="109"/>
      <c r="C13" s="110"/>
      <c r="D13" s="110"/>
      <c r="E13" s="110"/>
      <c r="F13" s="111"/>
    </row>
    <row r="14" spans="1:11" s="86" customFormat="1" ht="20.100000000000001" customHeight="1">
      <c r="A14" s="112"/>
      <c r="B14" s="113"/>
      <c r="C14" s="114"/>
      <c r="D14" s="114"/>
      <c r="E14" s="114"/>
      <c r="F14" s="115"/>
    </row>
    <row r="15" spans="1:11" s="87" customFormat="1" ht="16.5" thickBot="1">
      <c r="A15" s="96" t="s">
        <v>114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</row>
    <row r="16" spans="1:11" s="70" customFormat="1" ht="16.5" customHeight="1">
      <c r="A16" s="106" t="s">
        <v>96</v>
      </c>
      <c r="B16" s="107" t="s">
        <v>62</v>
      </c>
      <c r="C16" s="107" t="s">
        <v>63</v>
      </c>
      <c r="D16" s="107" t="s">
        <v>64</v>
      </c>
      <c r="E16" s="107" t="s">
        <v>65</v>
      </c>
      <c r="F16" s="107" t="s">
        <v>72</v>
      </c>
    </row>
    <row r="17" spans="1:11" s="70" customFormat="1" ht="15" customHeight="1">
      <c r="A17" s="83" t="s">
        <v>21</v>
      </c>
      <c r="B17" s="88">
        <f ca="1">COUNTIFS('Disputed Invoice Detail'!$W$9:$W$10000,$A17,'Disputed Invoice Detail'!$K$9:$K$10000,"&lt;30")</f>
        <v>0</v>
      </c>
      <c r="C17" s="88">
        <f ca="1">COUNTIFS('Disputed Invoice Detail'!$W$9:$W$10000,$A17,'Disputed Invoice Detail'!$K$9:$K$10000,"&gt;=30",'Disputed Invoice Detail'!$K$9:$K$10000,"&lt;61")</f>
        <v>0</v>
      </c>
      <c r="D17" s="88">
        <f ca="1">COUNTIFS('Disputed Invoice Detail'!$W$9:$W$10000,$A17,'Disputed Invoice Detail'!$K$9:$K$10000,"&gt;60",'Disputed Invoice Detail'!$K$9:$K$10000,"&lt;91")</f>
        <v>0</v>
      </c>
      <c r="E17" s="88">
        <f ca="1">COUNTIFS('Disputed Invoice Detail'!$W$9:$W$10000,$A17,'Disputed Invoice Detail'!$K$9:$K$10000,"&gt;90")</f>
        <v>8</v>
      </c>
      <c r="F17" s="89">
        <f ca="1">SUM(B17:E17)</f>
        <v>8</v>
      </c>
    </row>
    <row r="18" spans="1:11" s="70" customFormat="1" ht="15" customHeight="1">
      <c r="A18" s="83" t="s">
        <v>66</v>
      </c>
      <c r="B18" s="88">
        <f ca="1">COUNTIFS('Disputed Invoice Detail'!$W$9:$W$10000,$A18,'Disputed Invoice Detail'!$K$9:$K$10000,"&lt;30")</f>
        <v>0</v>
      </c>
      <c r="C18" s="88">
        <f ca="1">COUNTIFS('Disputed Invoice Detail'!$W$9:$W$10000,$A18,'Disputed Invoice Detail'!$K$9:$K$10000,"&gt;=30",'Disputed Invoice Detail'!$K$9:$K$10000,"&lt;61")</f>
        <v>0</v>
      </c>
      <c r="D18" s="88">
        <f ca="1">COUNTIFS('Disputed Invoice Detail'!$W$9:$W$10000,$A18,'Disputed Invoice Detail'!$K$9:$K$10000,"&gt;60",'Disputed Invoice Detail'!$K$9:$K$10000,"&lt;91")</f>
        <v>0</v>
      </c>
      <c r="E18" s="88">
        <f ca="1">COUNTIFS('Disputed Invoice Detail'!$W$9:$W$10000,$A18,'Disputed Invoice Detail'!$K$9:$K$10000,"&gt;90")</f>
        <v>8</v>
      </c>
      <c r="F18" s="89">
        <f t="shared" ref="F18:F25" ca="1" si="0">SUM(B18:E18)</f>
        <v>8</v>
      </c>
    </row>
    <row r="19" spans="1:11" s="70" customFormat="1" ht="15" customHeight="1">
      <c r="A19" s="83" t="s">
        <v>67</v>
      </c>
      <c r="B19" s="88">
        <f ca="1">COUNTIFS('Disputed Invoice Detail'!$W$9:$W$10000,$A19,'Disputed Invoice Detail'!$K$9:$K$10000,"&lt;30")</f>
        <v>0</v>
      </c>
      <c r="C19" s="88">
        <f ca="1">COUNTIFS('Disputed Invoice Detail'!$W$9:$W$10000,$A19,'Disputed Invoice Detail'!$K$9:$K$10000,"&gt;=30",'Disputed Invoice Detail'!$K$9:$K$10000,"&lt;61")</f>
        <v>0</v>
      </c>
      <c r="D19" s="88">
        <f ca="1">COUNTIFS('Disputed Invoice Detail'!$W$9:$W$10000,$A19,'Disputed Invoice Detail'!$K$9:$K$10000,"&gt;60",'Disputed Invoice Detail'!$K$9:$K$10000,"&lt;91")</f>
        <v>0</v>
      </c>
      <c r="E19" s="88">
        <f ca="1">COUNTIFS('Disputed Invoice Detail'!$W$9:$W$10000,$A19,'Disputed Invoice Detail'!$K$9:$K$10000,"&gt;90")</f>
        <v>7</v>
      </c>
      <c r="F19" s="89">
        <f t="shared" ca="1" si="0"/>
        <v>7</v>
      </c>
    </row>
    <row r="20" spans="1:11" s="86" customFormat="1" ht="15" customHeight="1">
      <c r="A20" s="83" t="s">
        <v>68</v>
      </c>
      <c r="B20" s="88">
        <f>COUNTIFS('Disputed Invoice Detail'!$W$9:$W$10000,$A20,'Disputed Invoice Detail'!$K$9:$K$10000,"&lt;30")</f>
        <v>0</v>
      </c>
      <c r="C20" s="88">
        <f>COUNTIFS('Disputed Invoice Detail'!$W$9:$W$10000,$A20,'Disputed Invoice Detail'!$K$9:$K$10000,"&gt;=30",'Disputed Invoice Detail'!$K$9:$K$10000,"&lt;61")</f>
        <v>0</v>
      </c>
      <c r="D20" s="88">
        <f>COUNTIFS('Disputed Invoice Detail'!$W$9:$W$10000,$A20,'Disputed Invoice Detail'!$K$9:$K$10000,"&gt;60",'Disputed Invoice Detail'!$K$9:$K$10000,"&lt;91")</f>
        <v>0</v>
      </c>
      <c r="E20" s="88">
        <f>COUNTIFS('Disputed Invoice Detail'!$W$9:$W$10000,$A20,'Disputed Invoice Detail'!$K$9:$K$10000,"&gt;90")</f>
        <v>0</v>
      </c>
      <c r="F20" s="89">
        <f t="shared" si="0"/>
        <v>0</v>
      </c>
    </row>
    <row r="21" spans="1:11" s="70" customFormat="1" ht="15" customHeight="1">
      <c r="A21" s="83" t="s">
        <v>69</v>
      </c>
      <c r="B21" s="88">
        <f>COUNTIFS('Disputed Invoice Detail'!$W$9:$W$10000,$A21,'Disputed Invoice Detail'!$K$9:$K$10000,"&lt;30")</f>
        <v>0</v>
      </c>
      <c r="C21" s="88">
        <f>COUNTIFS('Disputed Invoice Detail'!$W$9:$W$10000,$A21,'Disputed Invoice Detail'!$K$9:$K$10000,"&gt;=30",'Disputed Invoice Detail'!$K$9:$K$10000,"&lt;61")</f>
        <v>0</v>
      </c>
      <c r="D21" s="88">
        <f>COUNTIFS('Disputed Invoice Detail'!$W$9:$W$10000,$A21,'Disputed Invoice Detail'!$K$9:$K$10000,"&gt;60",'Disputed Invoice Detail'!$K$9:$K$10000,"&lt;91")</f>
        <v>0</v>
      </c>
      <c r="E21" s="88">
        <f>COUNTIFS('Disputed Invoice Detail'!$W$9:$W$10000,$A21,'Disputed Invoice Detail'!$K$9:$K$10000,"&gt;90")</f>
        <v>0</v>
      </c>
      <c r="F21" s="89">
        <f t="shared" si="0"/>
        <v>0</v>
      </c>
    </row>
    <row r="22" spans="1:11" s="86" customFormat="1" ht="15" customHeight="1">
      <c r="A22" s="83" t="s">
        <v>83</v>
      </c>
      <c r="B22" s="88">
        <f>COUNTIFS('Disputed Invoice Detail'!$W$9:$W$10000,$A22,'Disputed Invoice Detail'!$K$9:$K$10000,"&lt;30")</f>
        <v>0</v>
      </c>
      <c r="C22" s="88">
        <f>COUNTIFS('Disputed Invoice Detail'!$W$9:$W$10000,$A22,'Disputed Invoice Detail'!$K$9:$K$10000,"&gt;=30",'Disputed Invoice Detail'!$K$9:$K$10000,"&lt;61")</f>
        <v>0</v>
      </c>
      <c r="D22" s="88">
        <f>COUNTIFS('Disputed Invoice Detail'!$W$9:$W$10000,$A22,'Disputed Invoice Detail'!$K$9:$K$10000,"&gt;60",'Disputed Invoice Detail'!$K$9:$K$10000,"&lt;91")</f>
        <v>0</v>
      </c>
      <c r="E22" s="88">
        <f>COUNTIFS('Disputed Invoice Detail'!$W$9:$W$10000,$A22,'Disputed Invoice Detail'!$K$9:$K$10000,"&gt;90")</f>
        <v>0</v>
      </c>
      <c r="F22" s="89">
        <f t="shared" si="0"/>
        <v>0</v>
      </c>
    </row>
    <row r="23" spans="1:11" s="87" customFormat="1" ht="15" customHeight="1">
      <c r="A23" s="83" t="s">
        <v>70</v>
      </c>
      <c r="B23" s="88">
        <f>COUNTIFS('Disputed Invoice Detail'!$W$9:$W$10000,$A23,'Disputed Invoice Detail'!$K$9:$K$10000,"&lt;30")</f>
        <v>0</v>
      </c>
      <c r="C23" s="88">
        <f>COUNTIFS('Disputed Invoice Detail'!$W$9:$W$10000,$A23,'Disputed Invoice Detail'!$K$9:$K$10000,"&gt;=30",'Disputed Invoice Detail'!$K$9:$K$10000,"&lt;61")</f>
        <v>0</v>
      </c>
      <c r="D23" s="88">
        <f>COUNTIFS('Disputed Invoice Detail'!$W$9:$W$10000,$A23,'Disputed Invoice Detail'!$K$9:$K$10000,"&gt;60",'Disputed Invoice Detail'!$K$9:$K$10000,"&lt;91")</f>
        <v>0</v>
      </c>
      <c r="E23" s="88">
        <f>COUNTIFS('Disputed Invoice Detail'!$W$9:$W$10000,$A23,'Disputed Invoice Detail'!$K$9:$K$10000,"&gt;90")</f>
        <v>0</v>
      </c>
      <c r="F23" s="89">
        <f t="shared" si="0"/>
        <v>0</v>
      </c>
      <c r="G23" s="70"/>
      <c r="H23" s="70"/>
    </row>
    <row r="24" spans="1:11" s="84" customFormat="1" ht="15" customHeight="1">
      <c r="A24" s="83" t="s">
        <v>71</v>
      </c>
      <c r="B24" s="88">
        <f>COUNTIFS('Disputed Invoice Detail'!$W$9:$W$10000,$A24,'Disputed Invoice Detail'!$K$9:$K$10000,"&lt;30")</f>
        <v>0</v>
      </c>
      <c r="C24" s="88">
        <f>COUNTIFS('Disputed Invoice Detail'!$W$9:$W$10000,$A24,'Disputed Invoice Detail'!$K$9:$K$10000,"&gt;=30",'Disputed Invoice Detail'!$K$9:$K$10000,"&lt;61")</f>
        <v>0</v>
      </c>
      <c r="D24" s="88">
        <f>COUNTIFS('Disputed Invoice Detail'!$W$9:$W$10000,$A24,'Disputed Invoice Detail'!$K$9:$K$10000,"&gt;60",'Disputed Invoice Detail'!$K$9:$K$10000,"&lt;91")</f>
        <v>0</v>
      </c>
      <c r="E24" s="88">
        <f>COUNTIFS('Disputed Invoice Detail'!$W$9:$W$10000,$A24,'Disputed Invoice Detail'!$K$9:$K$10000,"&gt;90")</f>
        <v>0</v>
      </c>
      <c r="F24" s="89">
        <f t="shared" si="0"/>
        <v>0</v>
      </c>
      <c r="G24" s="86"/>
      <c r="H24" s="86"/>
    </row>
    <row r="25" spans="1:11" s="87" customFormat="1" ht="15" customHeight="1">
      <c r="A25" s="83" t="s">
        <v>82</v>
      </c>
      <c r="B25" s="88">
        <f ca="1">COUNTIFS('Disputed Invoice Detail'!$W$9:$W$10000,$A25,'Disputed Invoice Detail'!$K$9:$K$10000,"&lt;30")</f>
        <v>0</v>
      </c>
      <c r="C25" s="88">
        <f ca="1">COUNTIFS('Disputed Invoice Detail'!$W$9:$W$10000,$A25,'Disputed Invoice Detail'!$K$9:$K$10000,"&gt;=30",'Disputed Invoice Detail'!$K$9:$K$10000,"&lt;61")</f>
        <v>0</v>
      </c>
      <c r="D25" s="88">
        <f ca="1">COUNTIFS('Disputed Invoice Detail'!$W$9:$W$10000,$A25,'Disputed Invoice Detail'!$K$9:$K$10000,"&gt;60",'Disputed Invoice Detail'!$K$9:$K$10000,"&lt;91")</f>
        <v>0</v>
      </c>
      <c r="E25" s="88">
        <f ca="1">COUNTIFS('Disputed Invoice Detail'!$W$9:$W$10000,$A25,'Disputed Invoice Detail'!$K$9:$K$10000,"&gt;90")</f>
        <v>1</v>
      </c>
      <c r="F25" s="89">
        <f t="shared" ca="1" si="0"/>
        <v>1</v>
      </c>
      <c r="G25" s="70"/>
      <c r="H25" s="70"/>
    </row>
    <row r="26" spans="1:11" s="9" customFormat="1" ht="15" customHeight="1">
      <c r="A26" s="66" t="s">
        <v>98</v>
      </c>
      <c r="B26" s="59">
        <f ca="1">SUM(B17:B25)</f>
        <v>0</v>
      </c>
      <c r="C26" s="59">
        <f ca="1">SUM(C17:C25)</f>
        <v>0</v>
      </c>
      <c r="D26" s="59">
        <f ca="1">SUM(D17:D25)</f>
        <v>0</v>
      </c>
      <c r="E26" s="59">
        <f ca="1">SUM(E17:E25)</f>
        <v>24</v>
      </c>
      <c r="F26" s="60">
        <f ca="1">SUM(F17:F25)</f>
        <v>24</v>
      </c>
    </row>
    <row r="27" spans="1:11" s="70" customFormat="1" ht="15" customHeight="1" thickBot="1">
      <c r="A27" s="116"/>
      <c r="B27" s="117"/>
      <c r="C27" s="117"/>
      <c r="D27" s="118"/>
      <c r="E27" s="118"/>
      <c r="F27" s="119"/>
    </row>
    <row r="28" spans="1:11" s="70" customFormat="1" ht="20.100000000000001" customHeight="1">
      <c r="A28" s="120"/>
      <c r="B28" s="121"/>
      <c r="C28" s="121"/>
      <c r="D28" s="115"/>
      <c r="E28" s="115"/>
      <c r="F28" s="115"/>
    </row>
    <row r="29" spans="1:11" s="70" customFormat="1" ht="20.100000000000001" customHeight="1" thickBot="1">
      <c r="A29" s="96" t="s">
        <v>115</v>
      </c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s="70" customFormat="1" ht="16.5" customHeight="1">
      <c r="A30" s="122" t="s">
        <v>96</v>
      </c>
      <c r="B30" s="123" t="s">
        <v>62</v>
      </c>
      <c r="C30" s="123" t="s">
        <v>63</v>
      </c>
      <c r="D30" s="123" t="s">
        <v>64</v>
      </c>
      <c r="E30" s="123" t="s">
        <v>65</v>
      </c>
      <c r="F30" s="123" t="s">
        <v>72</v>
      </c>
    </row>
    <row r="31" spans="1:11" s="70" customFormat="1" ht="15" customHeight="1">
      <c r="A31" s="83" t="s">
        <v>21</v>
      </c>
      <c r="B31" s="90">
        <f ca="1">SUMIFS('Disputed Invoice Detail'!$V$9:$V$300,'Disputed Invoice Detail'!$W$9:$W$300,$A31,'Disputed Invoice Detail'!$K$9:$K$300,"&lt;30")</f>
        <v>0</v>
      </c>
      <c r="C31" s="90">
        <f ca="1">SUMIFS('Disputed Invoice Detail'!$V$9:$V$300,'Disputed Invoice Detail'!$W$9:$W$300,$A31,'Disputed Invoice Detail'!$K$9:$K$300,"&gt;=30",'Disputed Invoice Detail'!$K$9:$K$300,"&lt;61")</f>
        <v>0</v>
      </c>
      <c r="D31" s="90">
        <f ca="1">SUMIFS('Disputed Invoice Detail'!$V$9:$V$300,'Disputed Invoice Detail'!$W$9:$W$300,$A31,'Disputed Invoice Detail'!$K$9:$K$300,"&gt;60",'Disputed Invoice Detail'!$K$9:$K$300,"&lt;91")</f>
        <v>0</v>
      </c>
      <c r="E31" s="90">
        <f ca="1">SUMIFS('Disputed Invoice Detail'!$V$9:$V$300,'Disputed Invoice Detail'!$W$9:$W$300,$A31,'Disputed Invoice Detail'!$K$9:$K$300,"&gt;90")</f>
        <v>2301.1</v>
      </c>
      <c r="F31" s="91">
        <f ca="1">SUM(B31:E31)</f>
        <v>2301.1</v>
      </c>
    </row>
    <row r="32" spans="1:11" s="86" customFormat="1" ht="15" customHeight="1">
      <c r="A32" s="83" t="s">
        <v>66</v>
      </c>
      <c r="B32" s="90">
        <f ca="1">SUMIFS('Disputed Invoice Detail'!$V$9:$V$300,'Disputed Invoice Detail'!$W$9:$W$300,$A32,'Disputed Invoice Detail'!$K$9:$K$300,"&lt;30")</f>
        <v>0</v>
      </c>
      <c r="C32" s="90">
        <f ca="1">SUMIFS('Disputed Invoice Detail'!$V$9:$V$300,'Disputed Invoice Detail'!$W$9:$W$300,$A32,'Disputed Invoice Detail'!$K$9:$K$300,"&gt;=30",'Disputed Invoice Detail'!$K$9:$K$300,"&lt;61")</f>
        <v>0</v>
      </c>
      <c r="D32" s="90">
        <f ca="1">SUMIFS('Disputed Invoice Detail'!$V$9:$V$300,'Disputed Invoice Detail'!$W$9:$W$300,$A32,'Disputed Invoice Detail'!$K$9:$K$300,"&gt;60",'Disputed Invoice Detail'!$K$9:$K$300,"&lt;91")</f>
        <v>0</v>
      </c>
      <c r="E32" s="90">
        <f ca="1">SUMIFS('Disputed Invoice Detail'!$V$9:$V$300,'Disputed Invoice Detail'!$W$9:$W$300,$A32,'Disputed Invoice Detail'!$K$9:$K$300,"&gt;90")</f>
        <v>6522</v>
      </c>
      <c r="F32" s="91">
        <f t="shared" ref="F32:F39" ca="1" si="1">SUM(B32:E32)</f>
        <v>6522</v>
      </c>
    </row>
    <row r="33" spans="1:11" s="70" customFormat="1" ht="15" customHeight="1">
      <c r="A33" s="83" t="s">
        <v>67</v>
      </c>
      <c r="B33" s="90">
        <f ca="1">SUMIFS('Disputed Invoice Detail'!$V$9:$V$300,'Disputed Invoice Detail'!$W$9:$W$300,$A33,'Disputed Invoice Detail'!$K$9:$K$300,"&lt;30")</f>
        <v>0</v>
      </c>
      <c r="C33" s="90">
        <f ca="1">SUMIFS('Disputed Invoice Detail'!$V$9:$V$300,'Disputed Invoice Detail'!$W$9:$W$300,$A33,'Disputed Invoice Detail'!$K$9:$K$300,"&gt;=30",'Disputed Invoice Detail'!$K$9:$K$300,"&lt;61")</f>
        <v>0</v>
      </c>
      <c r="D33" s="90">
        <f ca="1">SUMIFS('Disputed Invoice Detail'!$V$9:$V$300,'Disputed Invoice Detail'!$W$9:$W$300,$A33,'Disputed Invoice Detail'!$K$9:$K$300,"&gt;60",'Disputed Invoice Detail'!$K$9:$K$300,"&lt;91")</f>
        <v>0</v>
      </c>
      <c r="E33" s="90">
        <f ca="1">SUMIFS('Disputed Invoice Detail'!$V$9:$V$300,'Disputed Invoice Detail'!$W$9:$W$300,$A33,'Disputed Invoice Detail'!$K$9:$K$300,"&gt;90")</f>
        <v>8357</v>
      </c>
      <c r="F33" s="91">
        <f t="shared" ca="1" si="1"/>
        <v>8357</v>
      </c>
    </row>
    <row r="34" spans="1:11" s="86" customFormat="1" ht="15" customHeight="1">
      <c r="A34" s="83" t="s">
        <v>68</v>
      </c>
      <c r="B34" s="90">
        <f>SUMIFS('Disputed Invoice Detail'!$V$9:$V$300,'Disputed Invoice Detail'!$W$9:$W$300,$A34,'Disputed Invoice Detail'!$K$9:$K$300,"&lt;30")</f>
        <v>0</v>
      </c>
      <c r="C34" s="90">
        <f>SUMIFS('Disputed Invoice Detail'!$V$9:$V$300,'Disputed Invoice Detail'!$W$9:$W$300,$A34,'Disputed Invoice Detail'!$K$9:$K$300,"&gt;=30",'Disputed Invoice Detail'!$K$9:$K$300,"&lt;61")</f>
        <v>0</v>
      </c>
      <c r="D34" s="90">
        <f>SUMIFS('Disputed Invoice Detail'!$V$9:$V$300,'Disputed Invoice Detail'!$W$9:$W$300,$A34,'Disputed Invoice Detail'!$K$9:$K$300,"&gt;60",'Disputed Invoice Detail'!$K$9:$K$300,"&lt;91")</f>
        <v>0</v>
      </c>
      <c r="E34" s="90">
        <f>SUMIFS('Disputed Invoice Detail'!$V$9:$V$300,'Disputed Invoice Detail'!$W$9:$W$300,$A34,'Disputed Invoice Detail'!$K$9:$K$300,"&gt;90")</f>
        <v>0</v>
      </c>
      <c r="F34" s="91">
        <f t="shared" si="1"/>
        <v>0</v>
      </c>
    </row>
    <row r="35" spans="1:11" s="70" customFormat="1" ht="15" customHeight="1">
      <c r="A35" s="83" t="s">
        <v>69</v>
      </c>
      <c r="B35" s="90">
        <f>SUMIFS('Disputed Invoice Detail'!$V$9:$V$300,'Disputed Invoice Detail'!$W$9:$W$300,$A35,'Disputed Invoice Detail'!$K$9:$K$300,"&lt;30")</f>
        <v>0</v>
      </c>
      <c r="C35" s="90">
        <f>SUMIFS('Disputed Invoice Detail'!$V$9:$V$300,'Disputed Invoice Detail'!$W$9:$W$300,$A35,'Disputed Invoice Detail'!$K$9:$K$300,"&gt;=30",'Disputed Invoice Detail'!$K$9:$K$300,"&lt;61")</f>
        <v>0</v>
      </c>
      <c r="D35" s="90">
        <f>SUMIFS('Disputed Invoice Detail'!$V$9:$V$300,'Disputed Invoice Detail'!$W$9:$W$300,$A35,'Disputed Invoice Detail'!$K$9:$K$300,"&gt;60",'Disputed Invoice Detail'!$K$9:$K$300,"&lt;91")</f>
        <v>0</v>
      </c>
      <c r="E35" s="90">
        <f>SUMIFS('Disputed Invoice Detail'!$V$9:$V$300,'Disputed Invoice Detail'!$W$9:$W$300,$A35,'Disputed Invoice Detail'!$K$9:$K$300,"&gt;90")</f>
        <v>0</v>
      </c>
      <c r="F35" s="91">
        <f t="shared" si="1"/>
        <v>0</v>
      </c>
    </row>
    <row r="36" spans="1:11" s="86" customFormat="1" ht="15" customHeight="1">
      <c r="A36" s="83" t="s">
        <v>83</v>
      </c>
      <c r="B36" s="90">
        <f>SUMIFS('Disputed Invoice Detail'!$V$9:$V$300,'Disputed Invoice Detail'!$W$9:$W$300,$A36,'Disputed Invoice Detail'!$K$9:$K$300,"&lt;30")</f>
        <v>0</v>
      </c>
      <c r="C36" s="90">
        <f>SUMIFS('Disputed Invoice Detail'!$V$9:$V$300,'Disputed Invoice Detail'!$W$9:$W$300,$A36,'Disputed Invoice Detail'!$K$9:$K$300,"&gt;=30",'Disputed Invoice Detail'!$K$9:$K$300,"&lt;61")</f>
        <v>0</v>
      </c>
      <c r="D36" s="90">
        <f>SUMIFS('Disputed Invoice Detail'!$V$9:$V$300,'Disputed Invoice Detail'!$W$9:$W$300,$A36,'Disputed Invoice Detail'!$K$9:$K$300,"&gt;60",'Disputed Invoice Detail'!$K$9:$K$300,"&lt;91")</f>
        <v>0</v>
      </c>
      <c r="E36" s="90">
        <f>SUMIFS('Disputed Invoice Detail'!$V$9:$V$300,'Disputed Invoice Detail'!$W$9:$W$300,$A36,'Disputed Invoice Detail'!$K$9:$K$300,"&gt;90")</f>
        <v>0</v>
      </c>
      <c r="F36" s="91">
        <f t="shared" si="1"/>
        <v>0</v>
      </c>
    </row>
    <row r="37" spans="1:11" s="87" customFormat="1" ht="15" customHeight="1">
      <c r="A37" s="83" t="s">
        <v>70</v>
      </c>
      <c r="B37" s="90">
        <f>SUMIFS('Disputed Invoice Detail'!$V$9:$V$300,'Disputed Invoice Detail'!$W$9:$W$300,$A37,'Disputed Invoice Detail'!$K$9:$K$300,"&lt;30")</f>
        <v>0</v>
      </c>
      <c r="C37" s="90">
        <f>SUMIFS('Disputed Invoice Detail'!$V$9:$V$300,'Disputed Invoice Detail'!$W$9:$W$300,$A37,'Disputed Invoice Detail'!$K$9:$K$300,"&gt;=30",'Disputed Invoice Detail'!$K$9:$K$300,"&lt;61")</f>
        <v>0</v>
      </c>
      <c r="D37" s="90">
        <f>SUMIFS('Disputed Invoice Detail'!$V$9:$V$300,'Disputed Invoice Detail'!$W$9:$W$300,$A37,'Disputed Invoice Detail'!$K$9:$K$300,"&gt;60",'Disputed Invoice Detail'!$K$9:$K$300,"&lt;91")</f>
        <v>0</v>
      </c>
      <c r="E37" s="90">
        <f>SUMIFS('Disputed Invoice Detail'!$V$9:$V$300,'Disputed Invoice Detail'!$W$9:$W$300,$A37,'Disputed Invoice Detail'!$K$9:$K$300,"&gt;90")</f>
        <v>0</v>
      </c>
      <c r="F37" s="91">
        <f t="shared" si="1"/>
        <v>0</v>
      </c>
      <c r="G37" s="70"/>
      <c r="H37" s="70"/>
    </row>
    <row r="38" spans="1:11" s="84" customFormat="1" ht="15" customHeight="1">
      <c r="A38" s="83" t="s">
        <v>71</v>
      </c>
      <c r="B38" s="90">
        <f>SUMIFS('Disputed Invoice Detail'!$V$9:$V$300,'Disputed Invoice Detail'!$W$9:$W$300,$A38,'Disputed Invoice Detail'!$K$9:$K$300,"&lt;30")</f>
        <v>0</v>
      </c>
      <c r="C38" s="90">
        <f>SUMIFS('Disputed Invoice Detail'!$V$9:$V$300,'Disputed Invoice Detail'!$W$9:$W$300,$A38,'Disputed Invoice Detail'!$K$9:$K$300,"&gt;=30",'Disputed Invoice Detail'!$K$9:$K$300,"&lt;61")</f>
        <v>0</v>
      </c>
      <c r="D38" s="90">
        <f>SUMIFS('Disputed Invoice Detail'!$V$9:$V$300,'Disputed Invoice Detail'!$W$9:$W$300,$A38,'Disputed Invoice Detail'!$K$9:$K$300,"&gt;60",'Disputed Invoice Detail'!$K$9:$K$300,"&lt;91")</f>
        <v>0</v>
      </c>
      <c r="E38" s="90">
        <f>SUMIFS('Disputed Invoice Detail'!$V$9:$V$300,'Disputed Invoice Detail'!$W$9:$W$300,$A38,'Disputed Invoice Detail'!$K$9:$K$300,"&gt;90")</f>
        <v>0</v>
      </c>
      <c r="F38" s="91">
        <f t="shared" si="1"/>
        <v>0</v>
      </c>
      <c r="G38" s="86"/>
      <c r="H38" s="86"/>
    </row>
    <row r="39" spans="1:11" s="87" customFormat="1" ht="15" customHeight="1">
      <c r="A39" s="83" t="s">
        <v>82</v>
      </c>
      <c r="B39" s="90">
        <f ca="1">SUMIFS('Disputed Invoice Detail'!$V$9:$V$300,'Disputed Invoice Detail'!$W$9:$W$300,$A39,'Disputed Invoice Detail'!$K$9:$K$300,"&lt;30")</f>
        <v>0</v>
      </c>
      <c r="C39" s="90">
        <f ca="1">SUMIFS('Disputed Invoice Detail'!$V$9:$V$300,'Disputed Invoice Detail'!$W$9:$W$300,$A39,'Disputed Invoice Detail'!$K$9:$K$300,"&gt;=30",'Disputed Invoice Detail'!$K$9:$K$300,"&lt;61")</f>
        <v>0</v>
      </c>
      <c r="D39" s="90">
        <f ca="1">SUMIFS('Disputed Invoice Detail'!$V$9:$V$300,'Disputed Invoice Detail'!$W$9:$W$300,$A39,'Disputed Invoice Detail'!$K$9:$K$300,"&gt;60",'Disputed Invoice Detail'!$K$9:$K$300,"&lt;91")</f>
        <v>0</v>
      </c>
      <c r="E39" s="90">
        <f ca="1">SUMIFS('Disputed Invoice Detail'!$V$9:$V$300,'Disputed Invoice Detail'!$W$9:$W$300,$A39,'Disputed Invoice Detail'!$K$9:$K$300,"&gt;90")</f>
        <v>1000</v>
      </c>
      <c r="F39" s="91">
        <f t="shared" ca="1" si="1"/>
        <v>1000</v>
      </c>
      <c r="G39" s="70"/>
      <c r="H39" s="70"/>
    </row>
    <row r="40" spans="1:11" s="70" customFormat="1" ht="15" customHeight="1">
      <c r="A40" s="66" t="s">
        <v>97</v>
      </c>
      <c r="B40" s="62">
        <f ca="1">SUM(B31:B39)</f>
        <v>0</v>
      </c>
      <c r="C40" s="62">
        <f ca="1">SUM(C31:C39)</f>
        <v>0</v>
      </c>
      <c r="D40" s="62">
        <f ca="1">SUM(D31:D39)</f>
        <v>0</v>
      </c>
      <c r="E40" s="62">
        <f ca="1">SUM(E31:E39)</f>
        <v>18180.099999999999</v>
      </c>
      <c r="F40" s="63">
        <f ca="1">SUM(F31:F39)</f>
        <v>18180.099999999999</v>
      </c>
    </row>
    <row r="41" spans="1:11" s="86" customFormat="1" ht="15.75" customHeight="1" thickBot="1">
      <c r="A41" s="61"/>
      <c r="B41" s="64"/>
      <c r="C41" s="64"/>
      <c r="D41" s="64"/>
      <c r="E41" s="64"/>
      <c r="F41" s="65"/>
    </row>
    <row r="42" spans="1:11" s="70" customFormat="1">
      <c r="A42" s="124"/>
      <c r="B42" s="125"/>
      <c r="C42" s="125"/>
      <c r="D42" s="125"/>
      <c r="E42" s="125"/>
      <c r="F42" s="125"/>
    </row>
    <row r="43" spans="1:11" s="70" customFormat="1" ht="15.75" thickBot="1">
      <c r="A43" s="96" t="s">
        <v>116</v>
      </c>
      <c r="B43" s="96"/>
      <c r="C43" s="96"/>
      <c r="D43" s="96"/>
      <c r="E43" s="96"/>
      <c r="F43" s="96"/>
      <c r="G43" s="96"/>
      <c r="H43" s="96"/>
      <c r="I43" s="96"/>
      <c r="J43" s="96"/>
      <c r="K43" s="96"/>
    </row>
    <row r="44" spans="1:11" s="70" customFormat="1" ht="16.5" customHeight="1">
      <c r="A44" s="122" t="s">
        <v>94</v>
      </c>
      <c r="B44" s="123" t="s">
        <v>62</v>
      </c>
      <c r="C44" s="123" t="s">
        <v>63</v>
      </c>
      <c r="D44" s="123" t="s">
        <v>64</v>
      </c>
      <c r="E44" s="123" t="s">
        <v>65</v>
      </c>
      <c r="F44" s="123" t="s">
        <v>72</v>
      </c>
    </row>
    <row r="45" spans="1:11" s="70" customFormat="1" ht="15" customHeight="1">
      <c r="A45" s="83" t="s">
        <v>85</v>
      </c>
      <c r="B45" s="88">
        <f ca="1">COUNTIFS('Disputed Invoice Detail'!$Z$9:$Z$10000,$A45,'Disputed Invoice Detail'!$K$9:$K$10000,"&lt;30")</f>
        <v>0</v>
      </c>
      <c r="C45" s="88">
        <f ca="1">COUNTIFS('Disputed Invoice Detail'!$Z$9:$Z$10000,$A45,'Disputed Invoice Detail'!$K$9:$K$10000,"&gt;=30",'Disputed Invoice Detail'!$K$9:$K$10000,"&lt;61")</f>
        <v>0</v>
      </c>
      <c r="D45" s="88">
        <f ca="1">COUNTIFS('Disputed Invoice Detail'!$Z$9:$Z$10000,$A45,'Disputed Invoice Detail'!$K$9:$K$10000,"&gt;60",'Disputed Invoice Detail'!$K$9:$K$10000,"&lt;91")</f>
        <v>0</v>
      </c>
      <c r="E45" s="88">
        <f ca="1">COUNTIFS('Disputed Invoice Detail'!$Z$9:$Z$10000,$A45,'Disputed Invoice Detail'!$K$9:$K$10000,"&gt;90")</f>
        <v>10</v>
      </c>
      <c r="F45" s="89">
        <f ca="1">SUM(B45:E45)</f>
        <v>10</v>
      </c>
    </row>
    <row r="46" spans="1:11" s="86" customFormat="1" ht="15" customHeight="1">
      <c r="A46" s="83" t="s">
        <v>86</v>
      </c>
      <c r="B46" s="88">
        <f ca="1">COUNTIFS('Disputed Invoice Detail'!$Z$9:$Z$10000,$A46,'Disputed Invoice Detail'!$K$9:$K$10000,"&lt;30")</f>
        <v>0</v>
      </c>
      <c r="C46" s="88">
        <f ca="1">COUNTIFS('Disputed Invoice Detail'!$Z$9:$Z$10000,$A46,'Disputed Invoice Detail'!$K$9:$K$10000,"&gt;=30",'Disputed Invoice Detail'!$K$9:$K$10000,"&lt;61")</f>
        <v>0</v>
      </c>
      <c r="D46" s="88">
        <f ca="1">COUNTIFS('Disputed Invoice Detail'!$Z$9:$Z$10000,$A46,'Disputed Invoice Detail'!$K$9:$K$10000,"&gt;60",'Disputed Invoice Detail'!$K$9:$K$10000,"&lt;91")</f>
        <v>0</v>
      </c>
      <c r="E46" s="88">
        <f ca="1">COUNTIFS('Disputed Invoice Detail'!$Z$9:$Z$10000,$A46,'Disputed Invoice Detail'!$K$9:$K$10000,"&gt;90")</f>
        <v>2</v>
      </c>
      <c r="F46" s="89">
        <f t="shared" ref="F46:F47" ca="1" si="2">SUM(B46:E46)</f>
        <v>2</v>
      </c>
    </row>
    <row r="47" spans="1:11" s="70" customFormat="1" ht="15" customHeight="1">
      <c r="A47" s="83" t="s">
        <v>121</v>
      </c>
      <c r="B47" s="88">
        <f>COUNTIFS('Disputed Invoice Detail'!$Z$9:$Z$10000,$A47,'Disputed Invoice Detail'!$K$9:$K$10000,"&lt;30")</f>
        <v>0</v>
      </c>
      <c r="C47" s="88">
        <f>COUNTIFS('Disputed Invoice Detail'!$Z$9:$Z$10000,$A47,'Disputed Invoice Detail'!$K$9:$K$10000,"&gt;=30",'Disputed Invoice Detail'!$K$9:$K$10000,"&lt;61")</f>
        <v>0</v>
      </c>
      <c r="D47" s="88">
        <f>COUNTIFS('Disputed Invoice Detail'!$Z$9:$Z$10000,$A47,'Disputed Invoice Detail'!$K$9:$K$10000,"&gt;60",'Disputed Invoice Detail'!$K$9:$K$10000,"&lt;91")</f>
        <v>0</v>
      </c>
      <c r="E47" s="88">
        <f>COUNTIFS('Disputed Invoice Detail'!$Z$9:$Z$10000,$A47,'Disputed Invoice Detail'!$K$9:$K$10000,"&gt;90")</f>
        <v>0</v>
      </c>
      <c r="F47" s="89">
        <f t="shared" si="2"/>
        <v>0</v>
      </c>
    </row>
    <row r="48" spans="1:11" s="92" customFormat="1" ht="15" customHeight="1">
      <c r="A48" s="66" t="s">
        <v>90</v>
      </c>
      <c r="B48" s="59">
        <f ca="1">SUM(B45:B47)</f>
        <v>0</v>
      </c>
      <c r="C48" s="59">
        <f ca="1">SUM(C45:C47)</f>
        <v>0</v>
      </c>
      <c r="D48" s="59">
        <f ca="1">SUM(D45:D47)</f>
        <v>0</v>
      </c>
      <c r="E48" s="59">
        <f ca="1">SUM(E45:E47)</f>
        <v>12</v>
      </c>
      <c r="F48" s="60">
        <f ca="1">SUM(F45:F47)</f>
        <v>12</v>
      </c>
    </row>
    <row r="49" spans="1:11" s="92" customFormat="1" ht="15" customHeight="1" thickBot="1">
      <c r="A49" s="126"/>
      <c r="B49" s="59"/>
      <c r="C49" s="59"/>
      <c r="D49" s="59"/>
      <c r="E49" s="59"/>
      <c r="F49" s="60"/>
    </row>
    <row r="50" spans="1:11" s="92" customFormat="1" ht="15.75">
      <c r="A50" s="127"/>
      <c r="B50" s="128"/>
      <c r="C50" s="128"/>
      <c r="D50" s="128"/>
      <c r="E50" s="128"/>
      <c r="F50" s="128"/>
    </row>
    <row r="51" spans="1:11" s="70" customFormat="1" ht="15.75" thickBot="1">
      <c r="A51" s="96" t="s">
        <v>91</v>
      </c>
      <c r="B51" s="96"/>
      <c r="C51" s="96"/>
      <c r="D51" s="96"/>
      <c r="E51" s="96"/>
      <c r="F51" s="96"/>
      <c r="G51" s="96"/>
      <c r="H51" s="96"/>
      <c r="I51" s="96"/>
      <c r="J51" s="96"/>
      <c r="K51" s="96"/>
    </row>
    <row r="52" spans="1:11" s="70" customFormat="1" ht="16.5" customHeight="1">
      <c r="A52" s="122" t="s">
        <v>15</v>
      </c>
      <c r="B52" s="123" t="s">
        <v>62</v>
      </c>
      <c r="C52" s="123" t="s">
        <v>63</v>
      </c>
      <c r="D52" s="123" t="s">
        <v>64</v>
      </c>
      <c r="E52" s="123" t="s">
        <v>65</v>
      </c>
      <c r="F52" s="123" t="s">
        <v>72</v>
      </c>
    </row>
    <row r="53" spans="1:11" s="70" customFormat="1" ht="15" customHeight="1">
      <c r="A53" s="83" t="s">
        <v>93</v>
      </c>
      <c r="B53" s="93">
        <f ca="1">COUNTIFS('Disputed Invoice Detail'!$AA$9:$AA$10000,$A53,'Disputed Invoice Detail'!$K$9:$K$10000,"&lt;30")</f>
        <v>0</v>
      </c>
      <c r="C53" s="93">
        <f ca="1">COUNTIFS('Disputed Invoice Detail'!$AA$9:$AA$10000,$A53,'Disputed Invoice Detail'!$K$9:$K$10000,"&gt;=30",'Disputed Invoice Detail'!$K$9:$K$10000,"&lt;61")</f>
        <v>0</v>
      </c>
      <c r="D53" s="93">
        <f ca="1">COUNTIFS('Disputed Invoice Detail'!$AA$9:$AA$10000,$A53,'Disputed Invoice Detail'!$K$9:$K$10000,"&gt;60",'Disputed Invoice Detail'!$K$9:$K$10000,"&lt;91")</f>
        <v>0</v>
      </c>
      <c r="E53" s="93">
        <f ca="1">COUNTIFS('Disputed Invoice Detail'!$AA$9:$AA$10000,$A53,'Disputed Invoice Detail'!$K$9:$K$10000,"&gt;90")</f>
        <v>7</v>
      </c>
      <c r="F53" s="94">
        <f ca="1">SUM(B53:E53)</f>
        <v>7</v>
      </c>
    </row>
    <row r="54" spans="1:11" s="86" customFormat="1" ht="15" customHeight="1">
      <c r="A54" s="83" t="s">
        <v>88</v>
      </c>
      <c r="B54" s="93">
        <f ca="1">COUNTIFS('Disputed Invoice Detail'!$AA$9:$AA$10000,$A54,'Disputed Invoice Detail'!$K$9:$K$10000,"&lt;30")</f>
        <v>0</v>
      </c>
      <c r="C54" s="93">
        <f ca="1">COUNTIFS('Disputed Invoice Detail'!$AA$9:$AA$10000,$A54,'Disputed Invoice Detail'!$K$9:$K$10000,"&gt;=30",'Disputed Invoice Detail'!$K$9:$K$10000,"&lt;61")</f>
        <v>0</v>
      </c>
      <c r="D54" s="93">
        <f ca="1">COUNTIFS('Disputed Invoice Detail'!$AA$9:$AA$10000,$A54,'Disputed Invoice Detail'!$K$9:$K$10000,"&gt;60",'Disputed Invoice Detail'!$K$9:$K$10000,"&lt;91")</f>
        <v>0</v>
      </c>
      <c r="E54" s="93">
        <f ca="1">COUNTIFS('Disputed Invoice Detail'!$AA$9:$AA$10000,$A54,'Disputed Invoice Detail'!$K$9:$K$10000,"&gt;90")</f>
        <v>8</v>
      </c>
      <c r="F54" s="94">
        <f t="shared" ref="F54:F55" ca="1" si="3">SUM(B54:E54)</f>
        <v>8</v>
      </c>
    </row>
    <row r="55" spans="1:11" s="70" customFormat="1" ht="15" customHeight="1">
      <c r="A55" s="83" t="s">
        <v>87</v>
      </c>
      <c r="B55" s="93">
        <f ca="1">COUNTIFS('Disputed Invoice Detail'!$AA$9:$AA$10000,$A55,'Disputed Invoice Detail'!$K$9:$K$10000,"&lt;30")</f>
        <v>0</v>
      </c>
      <c r="C55" s="93">
        <f ca="1">COUNTIFS('Disputed Invoice Detail'!$AA$9:$AA$10000,$A55,'Disputed Invoice Detail'!$K$9:$K$10000,"&gt;=30",'Disputed Invoice Detail'!$K$9:$K$10000,"&lt;61")</f>
        <v>0</v>
      </c>
      <c r="D55" s="93">
        <f ca="1">COUNTIFS('Disputed Invoice Detail'!$AA$9:$AA$10000,$A55,'Disputed Invoice Detail'!$K$9:$K$10000,"&gt;60",'Disputed Invoice Detail'!$K$9:$K$10000,"&lt;91")</f>
        <v>0</v>
      </c>
      <c r="E55" s="93">
        <f ca="1">COUNTIFS('Disputed Invoice Detail'!$AA$9:$AA$10000,$A55,'Disputed Invoice Detail'!$K$9:$K$10000,"&gt;90")</f>
        <v>9</v>
      </c>
      <c r="F55" s="94">
        <f t="shared" ca="1" si="3"/>
        <v>9</v>
      </c>
    </row>
    <row r="56" spans="1:11" s="70" customFormat="1" ht="15" customHeight="1">
      <c r="A56" s="66" t="s">
        <v>90</v>
      </c>
      <c r="B56" s="52">
        <f ca="1">SUM(B53:B55)</f>
        <v>0</v>
      </c>
      <c r="C56" s="52">
        <f ca="1">SUM(C53:C55)</f>
        <v>0</v>
      </c>
      <c r="D56" s="52">
        <f ca="1">SUM(D53:D55)</f>
        <v>0</v>
      </c>
      <c r="E56" s="52">
        <f ca="1">SUM(E53:E55)</f>
        <v>24</v>
      </c>
      <c r="F56" s="11">
        <f ca="1">SUM(F53:F55)</f>
        <v>24</v>
      </c>
    </row>
    <row r="57" spans="1:11" s="70" customFormat="1" ht="15" customHeight="1" thickBot="1">
      <c r="A57" s="51"/>
      <c r="B57" s="52"/>
      <c r="C57" s="52"/>
      <c r="D57" s="52"/>
      <c r="E57" s="52"/>
      <c r="F57" s="11"/>
    </row>
    <row r="58" spans="1:11" s="70" customFormat="1" ht="15.75">
      <c r="A58" s="127"/>
      <c r="B58" s="128"/>
      <c r="C58" s="128"/>
      <c r="D58" s="128"/>
      <c r="E58" s="128"/>
      <c r="F58" s="128"/>
    </row>
    <row r="59" spans="1:11" s="70" customFormat="1" ht="15.75" thickBot="1">
      <c r="A59" s="96" t="s">
        <v>92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</row>
    <row r="60" spans="1:11" s="70" customFormat="1" ht="16.5" customHeight="1">
      <c r="A60" s="122" t="s">
        <v>95</v>
      </c>
      <c r="B60" s="122" t="s">
        <v>62</v>
      </c>
      <c r="C60" s="122" t="s">
        <v>63</v>
      </c>
      <c r="D60" s="122" t="s">
        <v>64</v>
      </c>
      <c r="E60" s="122" t="s">
        <v>65</v>
      </c>
      <c r="F60" s="122" t="s">
        <v>72</v>
      </c>
    </row>
    <row r="61" spans="1:11" s="70" customFormat="1" ht="15" customHeight="1">
      <c r="A61" s="83" t="s">
        <v>23</v>
      </c>
      <c r="B61" s="93">
        <f ca="1">COUNTIFS('Disputed Invoice Detail'!$M$9:$M$10000,$A61,'Disputed Invoice Detail'!$K$9:$K$10000,"&lt;30")</f>
        <v>0</v>
      </c>
      <c r="C61" s="93">
        <f ca="1">COUNTIFS('Disputed Invoice Detail'!$M$9:$M$10000,$A61,'Disputed Invoice Detail'!$K$9:$K$10000,"&gt;=30",'Disputed Invoice Detail'!$K$9:$K$10000,"&lt;61")</f>
        <v>0</v>
      </c>
      <c r="D61" s="93">
        <f ca="1">COUNTIFS('Disputed Invoice Detail'!$M$9:$M$10000,$A61,'Disputed Invoice Detail'!$K$9:$K$10000,"&gt;60",'Disputed Invoice Detail'!$K$9:$K$10000,"&lt;91")</f>
        <v>0</v>
      </c>
      <c r="E61" s="93">
        <f ca="1">COUNTIFS('Disputed Invoice Detail'!$M$9:$M$10000,$A61,'Disputed Invoice Detail'!$K$9:$K$10000,"&gt;90")</f>
        <v>3</v>
      </c>
      <c r="F61" s="94">
        <f ca="1">SUM(B61:E61)</f>
        <v>3</v>
      </c>
    </row>
    <row r="62" spans="1:11" s="86" customFormat="1" ht="15" customHeight="1">
      <c r="A62" s="83" t="s">
        <v>24</v>
      </c>
      <c r="B62" s="93">
        <f ca="1">COUNTIFS('Disputed Invoice Detail'!$M$9:$M$10000,$A62,'Disputed Invoice Detail'!$K$9:$K$10000,"&lt;30")</f>
        <v>0</v>
      </c>
      <c r="C62" s="93">
        <f ca="1">COUNTIFS('Disputed Invoice Detail'!$M$9:$M$10000,$A62,'Disputed Invoice Detail'!$K$9:$K$10000,"&gt;=30",'Disputed Invoice Detail'!$K$9:$K$10000,"&lt;61")</f>
        <v>0</v>
      </c>
      <c r="D62" s="93">
        <f ca="1">COUNTIFS('Disputed Invoice Detail'!$M$9:$M$10000,$A62,'Disputed Invoice Detail'!$K$9:$K$10000,"&gt;60",'Disputed Invoice Detail'!$K$9:$K$10000,"&lt;91")</f>
        <v>0</v>
      </c>
      <c r="E62" s="93">
        <f ca="1">COUNTIFS('Disputed Invoice Detail'!$M$9:$M$10000,$A62,'Disputed Invoice Detail'!$K$9:$K$10000,"&gt;90")</f>
        <v>2</v>
      </c>
      <c r="F62" s="94">
        <f t="shared" ref="F62:F74" ca="1" si="4">SUM(B62:E62)</f>
        <v>2</v>
      </c>
    </row>
    <row r="63" spans="1:11" s="70" customFormat="1" ht="15" customHeight="1">
      <c r="A63" s="83" t="s">
        <v>28</v>
      </c>
      <c r="B63" s="93">
        <f ca="1">COUNTIFS('Disputed Invoice Detail'!$M$9:$M$10000,$A63,'Disputed Invoice Detail'!$K$9:$K$10000,"&lt;30")</f>
        <v>0</v>
      </c>
      <c r="C63" s="93">
        <f ca="1">COUNTIFS('Disputed Invoice Detail'!$M$9:$M$10000,$A63,'Disputed Invoice Detail'!$K$9:$K$10000,"&gt;=30",'Disputed Invoice Detail'!$K$9:$K$10000,"&lt;61")</f>
        <v>0</v>
      </c>
      <c r="D63" s="93">
        <f ca="1">COUNTIFS('Disputed Invoice Detail'!$M$9:$M$10000,$A63,'Disputed Invoice Detail'!$K$9:$K$10000,"&gt;60",'Disputed Invoice Detail'!$K$9:$K$10000,"&lt;91")</f>
        <v>0</v>
      </c>
      <c r="E63" s="93">
        <f ca="1">COUNTIFS('Disputed Invoice Detail'!$M$9:$M$10000,$A63,'Disputed Invoice Detail'!$K$9:$K$10000,"&gt;90")</f>
        <v>1</v>
      </c>
      <c r="F63" s="94">
        <f t="shared" ca="1" si="4"/>
        <v>1</v>
      </c>
    </row>
    <row r="64" spans="1:11" s="86" customFormat="1" ht="15" customHeight="1">
      <c r="A64" s="83" t="s">
        <v>31</v>
      </c>
      <c r="B64" s="93">
        <f ca="1">COUNTIFS('Disputed Invoice Detail'!$M$9:$M$10000,$A64,'Disputed Invoice Detail'!$K$9:$K$10000,"&lt;30")</f>
        <v>0</v>
      </c>
      <c r="C64" s="93">
        <f ca="1">COUNTIFS('Disputed Invoice Detail'!$M$9:$M$10000,$A64,'Disputed Invoice Detail'!$K$9:$K$10000,"&gt;=30",'Disputed Invoice Detail'!$K$9:$K$10000,"&lt;61")</f>
        <v>0</v>
      </c>
      <c r="D64" s="93">
        <f ca="1">COUNTIFS('Disputed Invoice Detail'!$M$9:$M$10000,$A64,'Disputed Invoice Detail'!$K$9:$K$10000,"&gt;60",'Disputed Invoice Detail'!$K$9:$K$10000,"&lt;91")</f>
        <v>0</v>
      </c>
      <c r="E64" s="93">
        <f ca="1">COUNTIFS('Disputed Invoice Detail'!$M$9:$M$10000,$A64,'Disputed Invoice Detail'!$K$9:$K$10000,"&gt;90")</f>
        <v>2</v>
      </c>
      <c r="F64" s="94">
        <f t="shared" ca="1" si="4"/>
        <v>2</v>
      </c>
    </row>
    <row r="65" spans="1:6" s="70" customFormat="1" ht="15" customHeight="1">
      <c r="A65" s="83" t="s">
        <v>74</v>
      </c>
      <c r="B65" s="93">
        <f ca="1">COUNTIFS('Disputed Invoice Detail'!$M$9:$M$10000,$A65,'Disputed Invoice Detail'!$K$9:$K$10000,"&lt;30")</f>
        <v>0</v>
      </c>
      <c r="C65" s="93">
        <f ca="1">COUNTIFS('Disputed Invoice Detail'!$M$9:$M$10000,$A65,'Disputed Invoice Detail'!$K$9:$K$10000,"&gt;=30",'Disputed Invoice Detail'!$K$9:$K$10000,"&lt;61")</f>
        <v>0</v>
      </c>
      <c r="D65" s="93">
        <f ca="1">COUNTIFS('Disputed Invoice Detail'!$M$9:$M$10000,$A65,'Disputed Invoice Detail'!$K$9:$K$10000,"&gt;60",'Disputed Invoice Detail'!$K$9:$K$10000,"&lt;91")</f>
        <v>0</v>
      </c>
      <c r="E65" s="93">
        <f ca="1">COUNTIFS('Disputed Invoice Detail'!$M$9:$M$10000,$A65,'Disputed Invoice Detail'!$K$9:$K$10000,"&gt;90")</f>
        <v>2</v>
      </c>
      <c r="F65" s="94">
        <f t="shared" ca="1" si="4"/>
        <v>2</v>
      </c>
    </row>
    <row r="66" spans="1:6" s="86" customFormat="1" ht="15" customHeight="1">
      <c r="A66" s="83" t="s">
        <v>29</v>
      </c>
      <c r="B66" s="93">
        <f ca="1">COUNTIFS('Disputed Invoice Detail'!$M$9:$M$10000,$A66,'Disputed Invoice Detail'!$K$9:$K$10000,"&lt;30")</f>
        <v>0</v>
      </c>
      <c r="C66" s="93">
        <f ca="1">COUNTIFS('Disputed Invoice Detail'!$M$9:$M$10000,$A66,'Disputed Invoice Detail'!$K$9:$K$10000,"&gt;=30",'Disputed Invoice Detail'!$K$9:$K$10000,"&lt;61")</f>
        <v>0</v>
      </c>
      <c r="D66" s="93">
        <f ca="1">COUNTIFS('Disputed Invoice Detail'!$M$9:$M$10000,$A66,'Disputed Invoice Detail'!$K$9:$K$10000,"&gt;60",'Disputed Invoice Detail'!$K$9:$K$10000,"&lt;91")</f>
        <v>0</v>
      </c>
      <c r="E66" s="93">
        <f ca="1">COUNTIFS('Disputed Invoice Detail'!$M$9:$M$10000,$A66,'Disputed Invoice Detail'!$K$9:$K$10000,"&gt;90")</f>
        <v>3</v>
      </c>
      <c r="F66" s="94">
        <f t="shared" ca="1" si="4"/>
        <v>3</v>
      </c>
    </row>
    <row r="67" spans="1:6" s="70" customFormat="1" ht="15" customHeight="1">
      <c r="A67" s="83" t="s">
        <v>75</v>
      </c>
      <c r="B67" s="93">
        <f ca="1">COUNTIFS('Disputed Invoice Detail'!$M$9:$M$10000,$A67,'Disputed Invoice Detail'!$K$9:$K$10000,"&lt;30")</f>
        <v>0</v>
      </c>
      <c r="C67" s="93">
        <f ca="1">COUNTIFS('Disputed Invoice Detail'!$M$9:$M$10000,$A67,'Disputed Invoice Detail'!$K$9:$K$10000,"&gt;=30",'Disputed Invoice Detail'!$K$9:$K$10000,"&lt;61")</f>
        <v>0</v>
      </c>
      <c r="D67" s="93">
        <f ca="1">COUNTIFS('Disputed Invoice Detail'!$M$9:$M$10000,$A67,'Disputed Invoice Detail'!$K$9:$K$10000,"&gt;60",'Disputed Invoice Detail'!$K$9:$K$10000,"&lt;91")</f>
        <v>0</v>
      </c>
      <c r="E67" s="93">
        <f ca="1">COUNTIFS('Disputed Invoice Detail'!$M$9:$M$10000,$A67,'Disputed Invoice Detail'!$K$9:$K$10000,"&gt;90")</f>
        <v>1</v>
      </c>
      <c r="F67" s="94">
        <f t="shared" ca="1" si="4"/>
        <v>1</v>
      </c>
    </row>
    <row r="68" spans="1:6" s="86" customFormat="1" ht="15" customHeight="1">
      <c r="A68" s="83" t="s">
        <v>20</v>
      </c>
      <c r="B68" s="93">
        <f ca="1">COUNTIFS('Disputed Invoice Detail'!$M$9:$M$10000,$A68,'Disputed Invoice Detail'!$K$9:$K$10000,"&lt;30")</f>
        <v>0</v>
      </c>
      <c r="C68" s="93">
        <f ca="1">COUNTIFS('Disputed Invoice Detail'!$M$9:$M$10000,$A68,'Disputed Invoice Detail'!$K$9:$K$10000,"&gt;=30",'Disputed Invoice Detail'!$K$9:$K$10000,"&lt;61")</f>
        <v>0</v>
      </c>
      <c r="D68" s="93">
        <f ca="1">COUNTIFS('Disputed Invoice Detail'!$M$9:$M$10000,$A68,'Disputed Invoice Detail'!$K$9:$K$10000,"&gt;60",'Disputed Invoice Detail'!$K$9:$K$10000,"&lt;91")</f>
        <v>0</v>
      </c>
      <c r="E68" s="93">
        <f ca="1">COUNTIFS('Disputed Invoice Detail'!$M$9:$M$10000,$A68,'Disputed Invoice Detail'!$K$9:$K$10000,"&gt;90")</f>
        <v>1</v>
      </c>
      <c r="F68" s="94">
        <f t="shared" ca="1" si="4"/>
        <v>1</v>
      </c>
    </row>
    <row r="69" spans="1:6" s="86" customFormat="1" ht="15" customHeight="1">
      <c r="A69" s="83" t="s">
        <v>25</v>
      </c>
      <c r="B69" s="93">
        <f ca="1">COUNTIFS('Disputed Invoice Detail'!$M$9:$M$10000,$A69,'Disputed Invoice Detail'!$K$9:$K$10000,"&lt;30")</f>
        <v>0</v>
      </c>
      <c r="C69" s="93">
        <f ca="1">COUNTIFS('Disputed Invoice Detail'!$M$9:$M$10000,$A69,'Disputed Invoice Detail'!$K$9:$K$10000,"&gt;=30",'Disputed Invoice Detail'!$K$9:$K$10000,"&lt;61")</f>
        <v>0</v>
      </c>
      <c r="D69" s="93">
        <f ca="1">COUNTIFS('Disputed Invoice Detail'!$M$9:$M$10000,$A69,'Disputed Invoice Detail'!$K$9:$K$10000,"&gt;60",'Disputed Invoice Detail'!$K$9:$K$10000,"&lt;91")</f>
        <v>0</v>
      </c>
      <c r="E69" s="93">
        <f ca="1">COUNTIFS('Disputed Invoice Detail'!$M$9:$M$10000,$A69,'Disputed Invoice Detail'!$K$9:$K$10000,"&gt;90")</f>
        <v>1</v>
      </c>
      <c r="F69" s="94">
        <f t="shared" ca="1" si="4"/>
        <v>1</v>
      </c>
    </row>
    <row r="70" spans="1:6" s="86" customFormat="1" ht="15" customHeight="1">
      <c r="A70" s="83" t="s">
        <v>32</v>
      </c>
      <c r="B70" s="93">
        <f ca="1">COUNTIFS('Disputed Invoice Detail'!$M$9:$M$10000,$A70,'Disputed Invoice Detail'!$K$9:$K$10000,"&lt;30")</f>
        <v>0</v>
      </c>
      <c r="C70" s="93">
        <f ca="1">COUNTIFS('Disputed Invoice Detail'!$M$9:$M$10000,$A70,'Disputed Invoice Detail'!$K$9:$K$10000,"&gt;=30",'Disputed Invoice Detail'!$K$9:$K$10000,"&lt;61")</f>
        <v>0</v>
      </c>
      <c r="D70" s="93">
        <f ca="1">COUNTIFS('Disputed Invoice Detail'!$M$9:$M$10000,$A70,'Disputed Invoice Detail'!$K$9:$K$10000,"&gt;60",'Disputed Invoice Detail'!$K$9:$K$10000,"&lt;91")</f>
        <v>0</v>
      </c>
      <c r="E70" s="93">
        <f ca="1">COUNTIFS('Disputed Invoice Detail'!$M$9:$M$10000,$A70,'Disputed Invoice Detail'!$K$9:$K$10000,"&gt;90")</f>
        <v>1</v>
      </c>
      <c r="F70" s="94">
        <f t="shared" ca="1" si="4"/>
        <v>1</v>
      </c>
    </row>
    <row r="71" spans="1:6" s="86" customFormat="1" ht="15" customHeight="1">
      <c r="A71" s="83" t="s">
        <v>78</v>
      </c>
      <c r="B71" s="93">
        <f ca="1">COUNTIFS('Disputed Invoice Detail'!$M$9:$M$10000,$A71,'Disputed Invoice Detail'!$K$9:$K$10000,"&lt;30")</f>
        <v>0</v>
      </c>
      <c r="C71" s="93">
        <f ca="1">COUNTIFS('Disputed Invoice Detail'!$M$9:$M$10000,$A71,'Disputed Invoice Detail'!$K$9:$K$10000,"&gt;=30",'Disputed Invoice Detail'!$K$9:$K$10000,"&lt;61")</f>
        <v>0</v>
      </c>
      <c r="D71" s="93">
        <f ca="1">COUNTIFS('Disputed Invoice Detail'!$M$9:$M$10000,$A71,'Disputed Invoice Detail'!$K$9:$K$10000,"&gt;60",'Disputed Invoice Detail'!$K$9:$K$10000,"&lt;91")</f>
        <v>0</v>
      </c>
      <c r="E71" s="93">
        <f ca="1">COUNTIFS('Disputed Invoice Detail'!$M$9:$M$10000,$A71,'Disputed Invoice Detail'!$K$9:$K$10000,"&gt;90")</f>
        <v>1</v>
      </c>
      <c r="F71" s="94">
        <f t="shared" ca="1" si="4"/>
        <v>1</v>
      </c>
    </row>
    <row r="72" spans="1:6" s="86" customFormat="1" ht="15" customHeight="1">
      <c r="A72" s="83" t="s">
        <v>26</v>
      </c>
      <c r="B72" s="93">
        <f ca="1">COUNTIFS('Disputed Invoice Detail'!$M$9:$M$10000,$A72,'Disputed Invoice Detail'!$K$9:$K$10000,"&lt;30")</f>
        <v>0</v>
      </c>
      <c r="C72" s="93">
        <f ca="1">COUNTIFS('Disputed Invoice Detail'!$M$9:$M$10000,$A72,'Disputed Invoice Detail'!$K$9:$K$10000,"&gt;=30",'Disputed Invoice Detail'!$K$9:$K$10000,"&lt;61")</f>
        <v>0</v>
      </c>
      <c r="D72" s="93">
        <f ca="1">COUNTIFS('Disputed Invoice Detail'!$M$9:$M$10000,$A72,'Disputed Invoice Detail'!$K$9:$K$10000,"&gt;60",'Disputed Invoice Detail'!$K$9:$K$10000,"&lt;91")</f>
        <v>0</v>
      </c>
      <c r="E72" s="93">
        <f ca="1">COUNTIFS('Disputed Invoice Detail'!$M$9:$M$10000,$A72,'Disputed Invoice Detail'!$K$9:$K$10000,"&gt;90")</f>
        <v>2</v>
      </c>
      <c r="F72" s="94">
        <f t="shared" ca="1" si="4"/>
        <v>2</v>
      </c>
    </row>
    <row r="73" spans="1:6" s="86" customFormat="1" ht="15" customHeight="1">
      <c r="A73" s="83" t="s">
        <v>30</v>
      </c>
      <c r="B73" s="93">
        <f ca="1">COUNTIFS('Disputed Invoice Detail'!$M$9:$M$10000,$A73,'Disputed Invoice Detail'!$K$9:$K$10000,"&lt;30")</f>
        <v>0</v>
      </c>
      <c r="C73" s="93">
        <f ca="1">COUNTIFS('Disputed Invoice Detail'!$M$9:$M$10000,$A73,'Disputed Invoice Detail'!$K$9:$K$10000,"&gt;=30",'Disputed Invoice Detail'!$K$9:$K$10000,"&lt;61")</f>
        <v>0</v>
      </c>
      <c r="D73" s="93">
        <f ca="1">COUNTIFS('Disputed Invoice Detail'!$M$9:$M$10000,$A73,'Disputed Invoice Detail'!$K$9:$K$10000,"&gt;60",'Disputed Invoice Detail'!$K$9:$K$10000,"&lt;91")</f>
        <v>0</v>
      </c>
      <c r="E73" s="93">
        <f ca="1">COUNTIFS('Disputed Invoice Detail'!$M$9:$M$10000,$A73,'Disputed Invoice Detail'!$K$9:$K$10000,"&gt;90")</f>
        <v>1</v>
      </c>
      <c r="F73" s="94">
        <f t="shared" ca="1" si="4"/>
        <v>1</v>
      </c>
    </row>
    <row r="74" spans="1:6" s="86" customFormat="1" ht="15" customHeight="1">
      <c r="A74" s="83" t="s">
        <v>33</v>
      </c>
      <c r="B74" s="93">
        <f ca="1">COUNTIFS('Disputed Invoice Detail'!$M$9:$M$10000,$A74,'Disputed Invoice Detail'!$K$9:$K$10000,"&lt;30")</f>
        <v>0</v>
      </c>
      <c r="C74" s="93">
        <f ca="1">COUNTIFS('Disputed Invoice Detail'!$M$9:$M$10000,$A74,'Disputed Invoice Detail'!$K$9:$K$10000,"&gt;=30",'Disputed Invoice Detail'!$K$9:$K$10000,"&lt;61")</f>
        <v>0</v>
      </c>
      <c r="D74" s="93">
        <f ca="1">COUNTIFS('Disputed Invoice Detail'!$M$9:$M$10000,$A74,'Disputed Invoice Detail'!$K$9:$K$10000,"&gt;60",'Disputed Invoice Detail'!$K$9:$K$10000,"&lt;91")</f>
        <v>0</v>
      </c>
      <c r="E74" s="93">
        <f ca="1">COUNTIFS('Disputed Invoice Detail'!$M$9:$M$10000,$A74,'Disputed Invoice Detail'!$K$9:$K$10000,"&gt;90")</f>
        <v>3</v>
      </c>
      <c r="F74" s="94">
        <f t="shared" ca="1" si="4"/>
        <v>3</v>
      </c>
    </row>
    <row r="75" spans="1:6" s="70" customFormat="1" ht="15" customHeight="1">
      <c r="A75" s="66" t="s">
        <v>90</v>
      </c>
      <c r="B75" s="52">
        <f ca="1">SUM(B61:B74)</f>
        <v>0</v>
      </c>
      <c r="C75" s="52">
        <f ca="1">SUM(C61:C74)</f>
        <v>0</v>
      </c>
      <c r="D75" s="52">
        <f ca="1">SUM(D61:D74)</f>
        <v>0</v>
      </c>
      <c r="E75" s="52">
        <f ca="1">SUM(E61:E74)</f>
        <v>24</v>
      </c>
      <c r="F75" s="11">
        <f ca="1">SUM(F61:F74)</f>
        <v>24</v>
      </c>
    </row>
    <row r="76" spans="1:6" ht="15.75" thickBot="1">
      <c r="A76" s="129"/>
      <c r="B76" s="130"/>
      <c r="C76" s="130"/>
      <c r="D76" s="130"/>
      <c r="E76" s="130"/>
      <c r="F76" s="130"/>
    </row>
    <row r="77" spans="1:6">
      <c r="A77" s="131"/>
      <c r="B77" s="132"/>
      <c r="C77" s="132"/>
      <c r="D77" s="132"/>
      <c r="E77" s="132"/>
      <c r="F77" s="132"/>
    </row>
  </sheetData>
  <sortState ref="A56:E68">
    <sortCondition ref="A56:A68"/>
  </sortState>
  <mergeCells count="6">
    <mergeCell ref="A51:K51"/>
    <mergeCell ref="A59:K59"/>
    <mergeCell ref="A6:K6"/>
    <mergeCell ref="A15:K15"/>
    <mergeCell ref="A29:K29"/>
    <mergeCell ref="A43:K43"/>
  </mergeCells>
  <pageMargins left="0.35" right="0.35" top="0.39" bottom="0.42" header="0.18" footer="0.25"/>
  <pageSetup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Disputed Invoice Detail</vt:lpstr>
      <vt:lpstr>Disputed Invoice Summary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2006-11-13T20:43:36Z</dcterms:created>
  <dcterms:modified xsi:type="dcterms:W3CDTF">2006-11-13T22:53:15Z</dcterms:modified>
</cp:coreProperties>
</file>
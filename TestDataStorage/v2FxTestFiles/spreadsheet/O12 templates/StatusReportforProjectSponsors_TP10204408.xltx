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hidePivotFieldList="1" refreshAllConnections="1"/>
  <bookViews>
    <workbookView xWindow="-15" yWindow="405" windowWidth="14775" windowHeight="5160" tabRatio="686"/>
  </bookViews>
  <sheets>
    <sheet name="Raw Data" sheetId="7" r:id="rId1"/>
    <sheet name="Project Status Report" sheetId="2" r:id="rId2"/>
    <sheet name="Project Var % Chart" sheetId="8" r:id="rId3"/>
    <sheet name="Schedule &amp; Budget Var Chart " sheetId="9" r:id="rId4"/>
    <sheet name="Resource Var Chart" sheetId="10" r:id="rId5"/>
    <sheet name="Assumptions and Notes" sheetId="5" r:id="rId6"/>
  </sheets>
  <definedNames>
    <definedName name="Work_ID" localSheetId="0">'Raw Data'!#REF!</definedName>
    <definedName name="Work_ID">#REF!</definedName>
  </definedNames>
  <calcPr calcId="124519"/>
  <pivotCaches>
    <pivotCache cacheId="9" r:id="rId7"/>
    <pivotCache cacheId="13" r:id="rId8"/>
    <pivotCache cacheId="17" r:id="rId9"/>
  </pivotCaches>
  <webPublishing codePage="1252"/>
</workbook>
</file>

<file path=xl/calcChain.xml><?xml version="1.0" encoding="utf-8"?>
<calcChain xmlns="http://schemas.openxmlformats.org/spreadsheetml/2006/main">
  <c r="B29" i="2"/>
  <c r="B28"/>
  <c r="B27"/>
  <c r="B26"/>
  <c r="A29"/>
  <c r="A28"/>
  <c r="A27"/>
  <c r="Y29"/>
  <c r="Y28"/>
  <c r="Y27"/>
  <c r="I27"/>
  <c r="E22"/>
  <c r="B14"/>
  <c r="R29"/>
  <c r="R28"/>
  <c r="R27"/>
  <c r="K29"/>
  <c r="K28"/>
  <c r="K27"/>
  <c r="I15"/>
  <c r="H15"/>
  <c r="G15"/>
  <c r="G29"/>
  <c r="G28"/>
  <c r="G27"/>
  <c r="F29"/>
  <c r="F28"/>
  <c r="F27"/>
  <c r="E29"/>
  <c r="E28"/>
  <c r="E27"/>
  <c r="E26"/>
  <c r="E25"/>
  <c r="E24"/>
  <c r="E23"/>
  <c r="D29"/>
  <c r="D28"/>
  <c r="D27"/>
  <c r="C29"/>
  <c r="J29" s="1"/>
  <c r="C28"/>
  <c r="J28" s="1"/>
  <c r="C27"/>
  <c r="J27" s="1"/>
  <c r="B3" i="5"/>
  <c r="B2"/>
  <c r="A1"/>
  <c r="B3" i="2"/>
  <c r="B2" i="7"/>
  <c r="B2" i="2"/>
  <c r="A1"/>
  <c r="I29"/>
  <c r="H29"/>
  <c r="I28"/>
  <c r="H28"/>
  <c r="H27"/>
  <c r="Y26"/>
  <c r="R26"/>
  <c r="K26"/>
  <c r="N26" s="1"/>
  <c r="I26"/>
  <c r="H26"/>
  <c r="G26"/>
  <c r="F26"/>
  <c r="D26"/>
  <c r="C26"/>
  <c r="AD26" s="1"/>
  <c r="A26"/>
  <c r="Y25"/>
  <c r="R25"/>
  <c r="K25"/>
  <c r="I25"/>
  <c r="H25"/>
  <c r="G25"/>
  <c r="F25"/>
  <c r="D25"/>
  <c r="C25"/>
  <c r="AC25" s="1"/>
  <c r="B25"/>
  <c r="A25"/>
  <c r="Y24"/>
  <c r="R24"/>
  <c r="K24"/>
  <c r="I24"/>
  <c r="H24"/>
  <c r="G24"/>
  <c r="F24"/>
  <c r="D24"/>
  <c r="C24"/>
  <c r="AC24" s="1"/>
  <c r="B24"/>
  <c r="A24"/>
  <c r="Y23"/>
  <c r="R23"/>
  <c r="K23"/>
  <c r="I23"/>
  <c r="H23"/>
  <c r="G23"/>
  <c r="F23"/>
  <c r="D23"/>
  <c r="C23"/>
  <c r="AC23" s="1"/>
  <c r="B23"/>
  <c r="A23"/>
  <c r="Y22"/>
  <c r="R22"/>
  <c r="K22"/>
  <c r="I22"/>
  <c r="H22"/>
  <c r="G22"/>
  <c r="F22"/>
  <c r="D22"/>
  <c r="C22"/>
  <c r="B22"/>
  <c r="A22"/>
  <c r="Y21"/>
  <c r="R21"/>
  <c r="K21"/>
  <c r="I21"/>
  <c r="H21"/>
  <c r="G21"/>
  <c r="F21"/>
  <c r="E21"/>
  <c r="D21"/>
  <c r="C21"/>
  <c r="AC21" s="1"/>
  <c r="B21"/>
  <c r="A21"/>
  <c r="Y20"/>
  <c r="R20"/>
  <c r="K20"/>
  <c r="O21" l="1"/>
  <c r="O27"/>
  <c r="O28"/>
  <c r="O29"/>
  <c r="P27"/>
  <c r="P28"/>
  <c r="P29"/>
  <c r="Q27"/>
  <c r="Q28"/>
  <c r="Q29"/>
  <c r="X27"/>
  <c r="X28"/>
  <c r="X29"/>
  <c r="AD22"/>
  <c r="Q22"/>
  <c r="S22" s="1"/>
  <c r="V27"/>
  <c r="V28"/>
  <c r="V29"/>
  <c r="W27"/>
  <c r="W28"/>
  <c r="W29"/>
  <c r="AC27"/>
  <c r="AC28"/>
  <c r="AC29"/>
  <c r="AD27"/>
  <c r="AD28"/>
  <c r="AD29"/>
  <c r="M29"/>
  <c r="J21"/>
  <c r="P21"/>
  <c r="Q21"/>
  <c r="V21"/>
  <c r="W21"/>
  <c r="X21"/>
  <c r="AD21"/>
  <c r="J22"/>
  <c r="L22"/>
  <c r="M22"/>
  <c r="O22"/>
  <c r="N22" s="1"/>
  <c r="P22"/>
  <c r="V22"/>
  <c r="W22"/>
  <c r="X22"/>
  <c r="AC22"/>
  <c r="J23"/>
  <c r="L23"/>
  <c r="M23"/>
  <c r="O23"/>
  <c r="N23" s="1"/>
  <c r="P23"/>
  <c r="Q23"/>
  <c r="V23"/>
  <c r="W23"/>
  <c r="X23"/>
  <c r="AD23"/>
  <c r="J24"/>
  <c r="L24"/>
  <c r="M24"/>
  <c r="O24"/>
  <c r="N24" s="1"/>
  <c r="P24"/>
  <c r="Q24"/>
  <c r="V24"/>
  <c r="W24"/>
  <c r="X24"/>
  <c r="AD24"/>
  <c r="J25"/>
  <c r="L25"/>
  <c r="M25"/>
  <c r="O25"/>
  <c r="N25" s="1"/>
  <c r="P25"/>
  <c r="Q25"/>
  <c r="V25"/>
  <c r="W25"/>
  <c r="X25"/>
  <c r="AD25"/>
  <c r="J26"/>
  <c r="L26"/>
  <c r="M26"/>
  <c r="O26"/>
  <c r="P26"/>
  <c r="Q26"/>
  <c r="V26"/>
  <c r="W26"/>
  <c r="X26"/>
  <c r="AC26"/>
  <c r="L27"/>
  <c r="M27"/>
  <c r="N27"/>
  <c r="L28"/>
  <c r="M28"/>
  <c r="N28"/>
  <c r="L29"/>
  <c r="N29"/>
  <c r="I20"/>
  <c r="H20"/>
  <c r="G20"/>
  <c r="F20"/>
  <c r="E20"/>
  <c r="D20"/>
  <c r="C20"/>
  <c r="B20"/>
  <c r="A20"/>
  <c r="AC20" l="1"/>
  <c r="X20"/>
  <c r="W20"/>
  <c r="V20"/>
  <c r="Q20"/>
  <c r="P20"/>
  <c r="O20"/>
  <c r="AA29"/>
  <c r="Z29"/>
  <c r="U29"/>
  <c r="T29"/>
  <c r="S29"/>
  <c r="AA28"/>
  <c r="Z28"/>
  <c r="U28"/>
  <c r="T28"/>
  <c r="S28"/>
  <c r="AA27"/>
  <c r="Z27"/>
  <c r="U27"/>
  <c r="T27"/>
  <c r="S27"/>
  <c r="Z26"/>
  <c r="S26"/>
  <c r="Z25"/>
  <c r="AA25" s="1"/>
  <c r="AB25" s="1"/>
  <c r="S25"/>
  <c r="Z24"/>
  <c r="AA24" s="1"/>
  <c r="AB24" s="1"/>
  <c r="S24"/>
  <c r="Z23"/>
  <c r="AA23" s="1"/>
  <c r="AB23" s="1"/>
  <c r="S23"/>
  <c r="Z22"/>
  <c r="Z21"/>
  <c r="S21"/>
  <c r="J20"/>
  <c r="L20" s="1"/>
  <c r="AB29"/>
  <c r="AD20"/>
  <c r="AB28"/>
  <c r="AB27"/>
  <c r="Y19"/>
  <c r="T23" l="1"/>
  <c r="U23" s="1"/>
  <c r="T24"/>
  <c r="U24" s="1"/>
  <c r="T26"/>
  <c r="U26" s="1"/>
  <c r="AA26"/>
  <c r="AB26" s="1"/>
  <c r="T25"/>
  <c r="U25" s="1"/>
  <c r="AA22"/>
  <c r="AB22" s="1"/>
  <c r="T22"/>
  <c r="U22" s="1"/>
  <c r="M20"/>
  <c r="S20"/>
  <c r="Z20"/>
  <c r="T21"/>
  <c r="AA21"/>
  <c r="R19"/>
  <c r="K19"/>
  <c r="I19"/>
  <c r="H19"/>
  <c r="G19"/>
  <c r="F19"/>
  <c r="E19"/>
  <c r="D19"/>
  <c r="C19"/>
  <c r="O19" s="1"/>
  <c r="B19"/>
  <c r="A19"/>
  <c r="Y15"/>
  <c r="X15"/>
  <c r="R15"/>
  <c r="Q15"/>
  <c r="AD19" l="1"/>
  <c r="AC19"/>
  <c r="X19"/>
  <c r="W19"/>
  <c r="V19"/>
  <c r="AB21"/>
  <c r="J19"/>
  <c r="L19" s="1"/>
  <c r="P19"/>
  <c r="Q19"/>
  <c r="AA20"/>
  <c r="U21"/>
  <c r="N20"/>
  <c r="K15"/>
  <c r="J15"/>
  <c r="B9"/>
  <c r="B8"/>
  <c r="L15" l="1"/>
  <c r="M15" s="1"/>
  <c r="M19"/>
  <c r="AB20"/>
  <c r="S19"/>
  <c r="Z19"/>
  <c r="N15" l="1"/>
  <c r="Z15"/>
  <c r="S15"/>
  <c r="AA19"/>
  <c r="T19"/>
  <c r="U19" s="1"/>
  <c r="N19"/>
  <c r="AB19" l="1"/>
  <c r="AA15"/>
  <c r="AB15" s="1"/>
  <c r="T15" l="1"/>
  <c r="U15" s="1"/>
  <c r="T20"/>
  <c r="U20" s="1"/>
  <c r="L21"/>
  <c r="M21" s="1"/>
  <c r="N21" s="1"/>
</calcChain>
</file>

<file path=xl/sharedStrings.xml><?xml version="1.0" encoding="utf-8"?>
<sst xmlns="http://schemas.openxmlformats.org/spreadsheetml/2006/main" count="146" uniqueCount="108">
  <si>
    <t>Critical</t>
  </si>
  <si>
    <t>Project name:</t>
  </si>
  <si>
    <t>Schedule</t>
  </si>
  <si>
    <t>Budget</t>
  </si>
  <si>
    <t>Variance</t>
  </si>
  <si>
    <t>Variance %</t>
  </si>
  <si>
    <t>Schedule Status</t>
  </si>
  <si>
    <t>Budget Status</t>
  </si>
  <si>
    <t>Resource Status</t>
  </si>
  <si>
    <t>Project Total</t>
  </si>
  <si>
    <t>Planned Finish Date</t>
  </si>
  <si>
    <t>Work component ID</t>
  </si>
  <si>
    <t>Work component type</t>
  </si>
  <si>
    <t>Work component name</t>
  </si>
  <si>
    <t>Work component owner</t>
  </si>
  <si>
    <t>Percent complete</t>
  </si>
  <si>
    <t>Planned start date</t>
  </si>
  <si>
    <t>Planned finish date</t>
  </si>
  <si>
    <t>Planned budget</t>
  </si>
  <si>
    <t>Planned resource hours</t>
  </si>
  <si>
    <t>Sub-project</t>
  </si>
  <si>
    <t>Project</t>
  </si>
  <si>
    <t>Milestone</t>
  </si>
  <si>
    <t>Actual start date</t>
  </si>
  <si>
    <t>Estimated finish date</t>
  </si>
  <si>
    <t>Actual finish date</t>
  </si>
  <si>
    <t>Schedule notes</t>
  </si>
  <si>
    <t>Schedule recovery plan</t>
  </si>
  <si>
    <t>Actual cost to date</t>
  </si>
  <si>
    <t>Cost estimate at completion</t>
  </si>
  <si>
    <t>Cost recovery plan</t>
  </si>
  <si>
    <t>Actual resource hours to date</t>
  </si>
  <si>
    <t>Resource hours estimate at completion</t>
  </si>
  <si>
    <t>Resource notes</t>
  </si>
  <si>
    <t>Resource recovery plan</t>
  </si>
  <si>
    <t>Note from work component owner</t>
  </si>
  <si>
    <t>Anna Franklin</t>
  </si>
  <si>
    <t>Yes</t>
  </si>
  <si>
    <t>Campaign message developed</t>
  </si>
  <si>
    <t>No</t>
  </si>
  <si>
    <t>3.1.1</t>
  </si>
  <si>
    <t>Establish PR lists</t>
  </si>
  <si>
    <t>Activity</t>
  </si>
  <si>
    <t>Frank Taylor</t>
  </si>
  <si>
    <t>Create campaign execution plan</t>
  </si>
  <si>
    <t>Project Manager:</t>
  </si>
  <si>
    <t>Project Status Report</t>
  </si>
  <si>
    <t>Reporting period</t>
  </si>
  <si>
    <t>From:</t>
  </si>
  <si>
    <t>To:</t>
  </si>
  <si>
    <t>Planned Budget</t>
  </si>
  <si>
    <t>Schedule Notes</t>
  </si>
  <si>
    <t>Schedule Recovery Plan</t>
  </si>
  <si>
    <t>Resource Notes</t>
  </si>
  <si>
    <t>Resource Recovery Plan</t>
  </si>
  <si>
    <t>Cost notes</t>
  </si>
  <si>
    <t>Cost Notes</t>
  </si>
  <si>
    <t>Budget Variance</t>
  </si>
  <si>
    <t>Budget Variance %</t>
  </si>
  <si>
    <t>Resource Variance %</t>
  </si>
  <si>
    <t>Schedule Variance %</t>
  </si>
  <si>
    <t>Assumptions and Notes</t>
  </si>
  <si>
    <t>Raw Data</t>
  </si>
  <si>
    <t>Variance threshold definition</t>
  </si>
  <si>
    <t>Resource hours</t>
  </si>
  <si>
    <t>Days</t>
  </si>
  <si>
    <t>Dollars</t>
  </si>
  <si>
    <t>Hours</t>
  </si>
  <si>
    <t>Resources</t>
  </si>
  <si>
    <t>Planned Hours</t>
  </si>
  <si>
    <t>Resources Status</t>
  </si>
  <si>
    <t>Complete?</t>
  </si>
  <si>
    <t>Widget marketing campaign</t>
  </si>
  <si>
    <t>(All)</t>
  </si>
  <si>
    <t>Values</t>
  </si>
  <si>
    <t>Schedule Variance</t>
  </si>
  <si>
    <t>Cost Variance</t>
  </si>
  <si>
    <t>Resource Variance</t>
  </si>
  <si>
    <t>Budget Variance in Dollars</t>
  </si>
  <si>
    <t>VARIANCE</t>
  </si>
  <si>
    <t>VARIANCE TYPE</t>
  </si>
  <si>
    <t>THRESHOLD AMOUNT</t>
  </si>
  <si>
    <t>THRESHOLD %</t>
  </si>
  <si>
    <t>Work
Component ID</t>
  </si>
  <si>
    <t>Work
Component Name</t>
  </si>
  <si>
    <t>Work
Component Owner</t>
  </si>
  <si>
    <t>Work
Component Type</t>
  </si>
  <si>
    <t>Report date:</t>
  </si>
  <si>
    <t>[Company name]</t>
  </si>
  <si>
    <t>DATE:</t>
  </si>
  <si>
    <t>PREPARED BY:</t>
  </si>
  <si>
    <t>Planned
StartDate</t>
  </si>
  <si>
    <t>Planned
Start Date</t>
  </si>
  <si>
    <t>Actual
Start Date</t>
  </si>
  <si>
    <t>Actual 
Start Date</t>
  </si>
  <si>
    <t>Actual
Cost to Date</t>
  </si>
  <si>
    <t>Cost
Recovery Plan</t>
  </si>
  <si>
    <t>Actual
Hours to Date</t>
  </si>
  <si>
    <t>Actual 
Hours to Date</t>
  </si>
  <si>
    <t>Resource Variance (Hrs)</t>
  </si>
  <si>
    <t>Planned Resource (Hrs)</t>
  </si>
  <si>
    <t>Est. / Actual Finish Date</t>
  </si>
  <si>
    <t>Est./ Actual Finish Date</t>
  </si>
  <si>
    <t>Schedule
Variance (Days)</t>
  </si>
  <si>
    <r>
      <t xml:space="preserve">Note </t>
    </r>
    <r>
      <rPr>
        <sz val="10"/>
        <color theme="1" tint="4.9989318521683403E-2"/>
        <rFont val="Calibri"/>
        <family val="2"/>
        <scheme val="minor"/>
      </rPr>
      <t>to report audience:</t>
    </r>
  </si>
  <si>
    <t>PROJECT SUMMARY</t>
  </si>
  <si>
    <t>WORK COMPONENT DETAILS</t>
  </si>
  <si>
    <t>[Name]</t>
  </si>
</sst>
</file>

<file path=xl/styles.xml><?xml version="1.0" encoding="utf-8"?>
<styleSheet xmlns="http://schemas.openxmlformats.org/spreadsheetml/2006/main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0.0"/>
    <numFmt numFmtId="166" formatCode="0.0_);[Red]\(0.0\)"/>
    <numFmt numFmtId="167" formatCode="&quot;$&quot;#,##0"/>
    <numFmt numFmtId="168" formatCode="0.00_);\(0.00\)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10"/>
      <color rgb="FFFFFF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/>
      </patternFill>
    </fill>
    <fill>
      <gradientFill degree="90">
        <stop position="0">
          <color theme="4" tint="0.59999389629810485"/>
        </stop>
        <stop position="1">
          <color theme="0"/>
        </stop>
      </gradientFill>
    </fill>
  </fills>
  <borders count="30">
    <border>
      <left/>
      <right/>
      <top/>
      <bottom/>
      <diagonal/>
    </border>
    <border>
      <left/>
      <right/>
      <top style="medium">
        <color theme="5"/>
      </top>
      <bottom/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thin">
        <color theme="4" tint="-0.24994659260841701"/>
      </bottom>
      <diagonal/>
    </border>
    <border>
      <left/>
      <right/>
      <top style="medium">
        <color theme="5"/>
      </top>
      <bottom style="thin">
        <color theme="4" tint="-0.24994659260841701"/>
      </bottom>
      <diagonal/>
    </border>
    <border>
      <left/>
      <right style="medium">
        <color theme="5"/>
      </right>
      <top style="medium">
        <color theme="5"/>
      </top>
      <bottom style="thin">
        <color theme="4" tint="-0.24994659260841701"/>
      </bottom>
      <diagonal/>
    </border>
    <border>
      <left style="medium">
        <color theme="5"/>
      </left>
      <right/>
      <top style="thin">
        <color theme="5"/>
      </top>
      <bottom style="medium">
        <color theme="5"/>
      </bottom>
      <diagonal/>
    </border>
    <border>
      <left/>
      <right style="medium">
        <color theme="5"/>
      </right>
      <top style="thin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thin">
        <color theme="4" tint="-0.24994659260841701"/>
      </bottom>
      <diagonal/>
    </border>
    <border>
      <left/>
      <right style="medium">
        <color theme="5"/>
      </right>
      <top/>
      <bottom style="thin">
        <color theme="4" tint="-0.24994659260841701"/>
      </bottom>
      <diagonal/>
    </border>
    <border>
      <left style="medium">
        <color theme="5"/>
      </left>
      <right/>
      <top/>
      <bottom style="thin">
        <color theme="4" tint="-0.24994659260841701"/>
      </bottom>
      <diagonal/>
    </border>
    <border>
      <left style="hair">
        <color theme="2" tint="-0.499984740745262"/>
      </left>
      <right style="hair">
        <color theme="2" tint="-0.499984740745262"/>
      </right>
      <top style="thin">
        <color theme="4" tint="-0.24994659260841701"/>
      </top>
      <bottom/>
      <diagonal/>
    </border>
    <border>
      <left style="hair">
        <color theme="2" tint="-0.499984740745262"/>
      </left>
      <right style="hair">
        <color theme="2" tint="-0.499984740745262"/>
      </right>
      <top/>
      <bottom/>
      <diagonal/>
    </border>
    <border>
      <left style="hair">
        <color theme="2" tint="-0.499984740745262"/>
      </left>
      <right style="hair">
        <color theme="2" tint="-0.499984740745262"/>
      </right>
      <top/>
      <bottom style="medium">
        <color theme="5"/>
      </bottom>
      <diagonal/>
    </border>
    <border>
      <left style="hair">
        <color theme="2" tint="-0.499984740745262"/>
      </left>
      <right style="hair">
        <color theme="2" tint="-0.499984740745262"/>
      </right>
      <top style="thin">
        <color theme="5"/>
      </top>
      <bottom style="medium">
        <color theme="5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/>
      <diagonal/>
    </border>
    <border>
      <left/>
      <right style="thin">
        <color theme="4" tint="0.79998168889431442"/>
      </right>
      <top/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210"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4" fillId="0" borderId="0" xfId="0" applyFont="1"/>
    <xf numFmtId="14" fontId="0" fillId="0" borderId="0" xfId="0" applyNumberFormat="1" applyBorder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2" fontId="0" fillId="0" borderId="0" xfId="0" applyNumberFormat="1"/>
    <xf numFmtId="2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 applyBorder="1" applyAlignment="1">
      <alignment wrapText="1"/>
    </xf>
    <xf numFmtId="0" fontId="0" fillId="0" borderId="0" xfId="0" applyNumberForma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NumberFormat="1" applyFont="1" applyBorder="1"/>
    <xf numFmtId="0" fontId="7" fillId="0" borderId="0" xfId="0" applyNumberFormat="1" applyFont="1"/>
    <xf numFmtId="0" fontId="7" fillId="0" borderId="0" xfId="0" applyNumberFormat="1" applyFont="1" applyBorder="1" applyAlignment="1">
      <alignment horizontal="left" indent="2"/>
    </xf>
    <xf numFmtId="14" fontId="7" fillId="0" borderId="0" xfId="0" applyNumberFormat="1" applyFont="1" applyBorder="1" applyAlignment="1">
      <alignment horizontal="right" indent="2"/>
    </xf>
    <xf numFmtId="0" fontId="7" fillId="0" borderId="0" xfId="0" applyNumberFormat="1" applyFont="1" applyBorder="1" applyAlignment="1">
      <alignment horizontal="right" indent="2"/>
    </xf>
    <xf numFmtId="0" fontId="7" fillId="0" borderId="0" xfId="0" applyFont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0" fontId="7" fillId="0" borderId="0" xfId="0" applyFont="1" applyAlignment="1">
      <alignment horizontal="left" indent="2"/>
    </xf>
    <xf numFmtId="0" fontId="10" fillId="0" borderId="0" xfId="0" applyFont="1"/>
    <xf numFmtId="0" fontId="9" fillId="4" borderId="1" xfId="3" applyFont="1" applyFill="1" applyBorder="1"/>
    <xf numFmtId="0" fontId="9" fillId="4" borderId="1" xfId="3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left" indent="1"/>
    </xf>
    <xf numFmtId="0" fontId="8" fillId="3" borderId="1" xfId="0" applyNumberFormat="1" applyFont="1" applyFill="1" applyBorder="1" applyAlignment="1">
      <alignment horizontal="left"/>
    </xf>
    <xf numFmtId="0" fontId="0" fillId="0" borderId="5" xfId="0" applyBorder="1"/>
    <xf numFmtId="0" fontId="7" fillId="0" borderId="0" xfId="0" applyFont="1" applyBorder="1"/>
    <xf numFmtId="0" fontId="7" fillId="0" borderId="5" xfId="0" applyFont="1" applyBorder="1"/>
    <xf numFmtId="14" fontId="7" fillId="0" borderId="0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164" fontId="7" fillId="0" borderId="0" xfId="2" applyNumberFormat="1" applyFont="1" applyBorder="1" applyAlignment="1">
      <alignment horizontal="center"/>
    </xf>
    <xf numFmtId="6" fontId="7" fillId="0" borderId="0" xfId="0" applyNumberFormat="1" applyFont="1" applyBorder="1" applyAlignment="1">
      <alignment horizontal="right"/>
    </xf>
    <xf numFmtId="167" fontId="7" fillId="0" borderId="0" xfId="1" applyNumberFormat="1" applyFont="1" applyBorder="1" applyAlignment="1">
      <alignment horizontal="right"/>
    </xf>
    <xf numFmtId="0" fontId="7" fillId="0" borderId="0" xfId="0" applyNumberFormat="1" applyFont="1" applyBorder="1" applyAlignment="1">
      <alignment wrapText="1"/>
    </xf>
    <xf numFmtId="0" fontId="7" fillId="0" borderId="0" xfId="0" applyFont="1" applyBorder="1" applyAlignment="1">
      <alignment wrapText="1"/>
    </xf>
    <xf numFmtId="2" fontId="7" fillId="0" borderId="0" xfId="0" applyNumberFormat="1" applyFont="1" applyBorder="1" applyAlignment="1">
      <alignment wrapText="1"/>
    </xf>
    <xf numFmtId="166" fontId="7" fillId="0" borderId="0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8" fillId="0" borderId="7" xfId="0" applyFont="1" applyBorder="1" applyAlignment="1">
      <alignment horizontal="center" wrapText="1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14" fontId="7" fillId="0" borderId="6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7" fillId="0" borderId="7" xfId="0" applyNumberFormat="1" applyFon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4" xfId="0" applyNumberFormat="1" applyBorder="1" applyAlignment="1">
      <alignment wrapText="1"/>
    </xf>
    <xf numFmtId="0" fontId="0" fillId="0" borderId="8" xfId="0" applyBorder="1" applyAlignment="1">
      <alignment wrapText="1"/>
    </xf>
    <xf numFmtId="0" fontId="7" fillId="0" borderId="4" xfId="0" applyNumberFormat="1" applyFont="1" applyBorder="1" applyAlignment="1">
      <alignment wrapText="1"/>
    </xf>
    <xf numFmtId="0" fontId="7" fillId="0" borderId="8" xfId="0" applyFont="1" applyBorder="1" applyAlignment="1">
      <alignment wrapText="1"/>
    </xf>
    <xf numFmtId="0" fontId="7" fillId="0" borderId="6" xfId="0" applyNumberFormat="1" applyFont="1" applyBorder="1" applyAlignment="1">
      <alignment wrapText="1"/>
    </xf>
    <xf numFmtId="0" fontId="7" fillId="0" borderId="7" xfId="0" applyNumberFormat="1" applyFont="1" applyBorder="1" applyAlignment="1">
      <alignment wrapText="1"/>
    </xf>
    <xf numFmtId="0" fontId="7" fillId="0" borderId="8" xfId="0" applyNumberFormat="1" applyFont="1" applyBorder="1" applyAlignment="1">
      <alignment wrapText="1"/>
    </xf>
    <xf numFmtId="166" fontId="7" fillId="0" borderId="6" xfId="0" applyNumberFormat="1" applyFont="1" applyBorder="1" applyAlignment="1">
      <alignment horizontal="center"/>
    </xf>
    <xf numFmtId="166" fontId="7" fillId="0" borderId="4" xfId="0" applyNumberFormat="1" applyFont="1" applyBorder="1" applyAlignment="1">
      <alignment horizontal="center"/>
    </xf>
    <xf numFmtId="0" fontId="0" fillId="0" borderId="6" xfId="0" applyNumberFormat="1" applyBorder="1" applyAlignment="1">
      <alignment wrapText="1"/>
    </xf>
    <xf numFmtId="0" fontId="0" fillId="0" borderId="7" xfId="0" applyNumberFormat="1" applyBorder="1" applyAlignment="1">
      <alignment wrapText="1"/>
    </xf>
    <xf numFmtId="0" fontId="0" fillId="0" borderId="8" xfId="0" applyNumberFormat="1" applyBorder="1" applyAlignment="1">
      <alignment wrapText="1"/>
    </xf>
    <xf numFmtId="14" fontId="7" fillId="0" borderId="0" xfId="0" applyNumberFormat="1" applyFont="1" applyBorder="1" applyAlignment="1">
      <alignment horizontal="left" indent="1"/>
    </xf>
    <xf numFmtId="14" fontId="7" fillId="0" borderId="0" xfId="0" applyNumberFormat="1" applyFont="1" applyAlignment="1">
      <alignment horizontal="left" indent="1"/>
    </xf>
    <xf numFmtId="0" fontId="4" fillId="0" borderId="0" xfId="0" applyFont="1" applyFill="1" applyBorder="1"/>
    <xf numFmtId="0" fontId="2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2" fillId="0" borderId="0" xfId="0" applyNumberFormat="1" applyFont="1"/>
    <xf numFmtId="10" fontId="7" fillId="0" borderId="0" xfId="0" applyNumberFormat="1" applyFont="1" applyBorder="1" applyAlignment="1">
      <alignment horizontal="right" indent="2"/>
    </xf>
    <xf numFmtId="8" fontId="7" fillId="0" borderId="0" xfId="0" applyNumberFormat="1" applyFont="1" applyBorder="1" applyAlignment="1">
      <alignment horizontal="right" indent="2"/>
    </xf>
    <xf numFmtId="1" fontId="7" fillId="0" borderId="0" xfId="0" applyNumberFormat="1" applyFont="1" applyBorder="1" applyAlignment="1">
      <alignment horizontal="right" indent="2"/>
    </xf>
    <xf numFmtId="0" fontId="7" fillId="0" borderId="0" xfId="0" applyNumberFormat="1" applyFont="1" applyBorder="1" applyAlignment="1">
      <alignment horizontal="left" wrapText="1" indent="2"/>
    </xf>
    <xf numFmtId="0" fontId="8" fillId="0" borderId="0" xfId="0" applyFont="1" applyBorder="1" applyAlignment="1">
      <alignment horizontal="left" indent="1"/>
    </xf>
    <xf numFmtId="0" fontId="8" fillId="0" borderId="5" xfId="0" applyFont="1" applyBorder="1" applyAlignment="1">
      <alignment horizontal="left" indent="1"/>
    </xf>
    <xf numFmtId="0" fontId="7" fillId="0" borderId="0" xfId="0" applyFont="1" applyFill="1" applyBorder="1" applyAlignment="1">
      <alignment horizontal="left" indent="1"/>
    </xf>
    <xf numFmtId="0" fontId="7" fillId="0" borderId="7" xfId="0" applyFont="1" applyFill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6" fontId="7" fillId="0" borderId="12" xfId="0" applyNumberFormat="1" applyFont="1" applyBorder="1" applyAlignment="1">
      <alignment horizontal="right"/>
    </xf>
    <xf numFmtId="0" fontId="7" fillId="0" borderId="13" xfId="0" applyNumberFormat="1" applyFont="1" applyBorder="1" applyAlignment="1">
      <alignment horizontal="center"/>
    </xf>
    <xf numFmtId="166" fontId="7" fillId="0" borderId="12" xfId="0" applyNumberFormat="1" applyFont="1" applyBorder="1" applyAlignment="1">
      <alignment horizontal="center"/>
    </xf>
    <xf numFmtId="2" fontId="8" fillId="0" borderId="6" xfId="0" applyNumberFormat="1" applyFont="1" applyBorder="1" applyAlignment="1">
      <alignment horizontal="center" wrapText="1"/>
    </xf>
    <xf numFmtId="2" fontId="8" fillId="0" borderId="0" xfId="0" applyNumberFormat="1" applyFont="1" applyBorder="1" applyAlignment="1">
      <alignment horizontal="center" wrapText="1"/>
    </xf>
    <xf numFmtId="0" fontId="7" fillId="0" borderId="0" xfId="0" applyFont="1" applyFill="1" applyBorder="1" applyAlignment="1">
      <alignment horizontal="right" indent="5"/>
    </xf>
    <xf numFmtId="2" fontId="0" fillId="0" borderId="7" xfId="0" applyNumberFormat="1" applyBorder="1" applyAlignment="1">
      <alignment wrapText="1"/>
    </xf>
    <xf numFmtId="2" fontId="7" fillId="0" borderId="7" xfId="0" applyNumberFormat="1" applyFont="1" applyBorder="1" applyAlignment="1">
      <alignment wrapText="1"/>
    </xf>
    <xf numFmtId="2" fontId="7" fillId="0" borderId="4" xfId="0" applyNumberFormat="1" applyFont="1" applyBorder="1" applyAlignment="1">
      <alignment wrapText="1"/>
    </xf>
    <xf numFmtId="2" fontId="7" fillId="0" borderId="8" xfId="0" applyNumberFormat="1" applyFont="1" applyBorder="1" applyAlignment="1">
      <alignment wrapText="1"/>
    </xf>
    <xf numFmtId="0" fontId="7" fillId="0" borderId="2" xfId="0" applyNumberFormat="1" applyFont="1" applyBorder="1"/>
    <xf numFmtId="9" fontId="7" fillId="0" borderId="0" xfId="2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0" fontId="11" fillId="0" borderId="0" xfId="0" applyNumberFormat="1" applyFont="1" applyBorder="1"/>
    <xf numFmtId="0" fontId="0" fillId="0" borderId="0" xfId="0" applyFill="1"/>
    <xf numFmtId="0" fontId="0" fillId="3" borderId="1" xfId="0" applyFill="1" applyBorder="1"/>
    <xf numFmtId="0" fontId="0" fillId="3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2" fontId="0" fillId="3" borderId="1" xfId="0" applyNumberFormat="1" applyFill="1" applyBorder="1"/>
    <xf numFmtId="0" fontId="8" fillId="3" borderId="1" xfId="0" applyFont="1" applyFill="1" applyBorder="1"/>
    <xf numFmtId="0" fontId="8" fillId="0" borderId="15" xfId="0" applyFont="1" applyBorder="1" applyAlignment="1">
      <alignment horizontal="left" wrapText="1" indent="1"/>
    </xf>
    <xf numFmtId="0" fontId="8" fillId="0" borderId="16" xfId="0" applyFont="1" applyBorder="1" applyAlignment="1">
      <alignment horizontal="left" wrapText="1" indent="1"/>
    </xf>
    <xf numFmtId="0" fontId="7" fillId="3" borderId="1" xfId="0" applyNumberFormat="1" applyFont="1" applyFill="1" applyBorder="1" applyAlignment="1">
      <alignment wrapText="1"/>
    </xf>
    <xf numFmtId="0" fontId="7" fillId="3" borderId="1" xfId="0" applyFont="1" applyFill="1" applyBorder="1"/>
    <xf numFmtId="0" fontId="8" fillId="0" borderId="17" xfId="0" applyFont="1" applyFill="1" applyBorder="1" applyAlignment="1">
      <alignment horizontal="center" wrapText="1"/>
    </xf>
    <xf numFmtId="0" fontId="8" fillId="0" borderId="15" xfId="0" applyFont="1" applyFill="1" applyBorder="1" applyAlignment="1">
      <alignment horizontal="center" wrapText="1"/>
    </xf>
    <xf numFmtId="0" fontId="8" fillId="0" borderId="16" xfId="0" applyFont="1" applyFill="1" applyBorder="1" applyAlignment="1">
      <alignment horizontal="center" wrapText="1"/>
    </xf>
    <xf numFmtId="2" fontId="7" fillId="3" borderId="14" xfId="0" applyNumberFormat="1" applyFont="1" applyFill="1" applyBorder="1" applyAlignment="1">
      <alignment wrapText="1"/>
    </xf>
    <xf numFmtId="0" fontId="8" fillId="0" borderId="0" xfId="0" applyFont="1" applyBorder="1" applyAlignment="1">
      <alignment horizontal="left" vertical="top" indent="1"/>
    </xf>
    <xf numFmtId="14" fontId="7" fillId="0" borderId="0" xfId="0" applyNumberFormat="1" applyFont="1" applyBorder="1" applyAlignment="1">
      <alignment horizontal="left" vertical="top" indent="1"/>
    </xf>
    <xf numFmtId="0" fontId="7" fillId="3" borderId="9" xfId="0" applyFont="1" applyFill="1" applyBorder="1"/>
    <xf numFmtId="0" fontId="7" fillId="3" borderId="10" xfId="0" applyFont="1" applyFill="1" applyBorder="1"/>
    <xf numFmtId="0" fontId="8" fillId="3" borderId="10" xfId="0" applyFont="1" applyFill="1" applyBorder="1" applyAlignment="1"/>
    <xf numFmtId="0" fontId="8" fillId="3" borderId="11" xfId="0" applyFont="1" applyFill="1" applyBorder="1" applyAlignment="1"/>
    <xf numFmtId="2" fontId="0" fillId="3" borderId="14" xfId="0" applyNumberFormat="1" applyFill="1" applyBorder="1" applyAlignment="1">
      <alignment wrapText="1"/>
    </xf>
    <xf numFmtId="0" fontId="7" fillId="0" borderId="0" xfId="0" applyFont="1" applyBorder="1" applyAlignment="1">
      <alignment horizontal="right" indent="2"/>
    </xf>
    <xf numFmtId="0" fontId="0" fillId="3" borderId="3" xfId="0" applyFill="1" applyBorder="1"/>
    <xf numFmtId="0" fontId="0" fillId="3" borderId="14" xfId="0" applyFill="1" applyBorder="1"/>
    <xf numFmtId="0" fontId="11" fillId="0" borderId="13" xfId="0" applyNumberFormat="1" applyFont="1" applyBorder="1" applyAlignment="1">
      <alignment horizontal="center"/>
    </xf>
    <xf numFmtId="0" fontId="11" fillId="0" borderId="7" xfId="0" applyNumberFormat="1" applyFont="1" applyBorder="1" applyAlignment="1">
      <alignment horizontal="center"/>
    </xf>
    <xf numFmtId="0" fontId="7" fillId="0" borderId="18" xfId="0" applyFont="1" applyFill="1" applyBorder="1" applyAlignment="1">
      <alignment horizontal="left" indent="1"/>
    </xf>
    <xf numFmtId="0" fontId="7" fillId="0" borderId="18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left" indent="1"/>
    </xf>
    <xf numFmtId="0" fontId="7" fillId="0" borderId="19" xfId="0" applyFont="1" applyFill="1" applyBorder="1" applyAlignment="1">
      <alignment horizontal="center"/>
    </xf>
    <xf numFmtId="14" fontId="7" fillId="0" borderId="18" xfId="0" applyNumberFormat="1" applyFont="1" applyBorder="1" applyAlignment="1">
      <alignment horizontal="center"/>
    </xf>
    <xf numFmtId="0" fontId="7" fillId="0" borderId="18" xfId="0" applyNumberFormat="1" applyFont="1" applyBorder="1" applyAlignment="1">
      <alignment horizontal="center"/>
    </xf>
    <xf numFmtId="3" fontId="7" fillId="0" borderId="18" xfId="0" applyNumberFormat="1" applyFont="1" applyBorder="1" applyAlignment="1">
      <alignment horizontal="center"/>
    </xf>
    <xf numFmtId="164" fontId="7" fillId="0" borderId="18" xfId="2" applyNumberFormat="1" applyFont="1" applyBorder="1" applyAlignment="1">
      <alignment horizontal="center"/>
    </xf>
    <xf numFmtId="14" fontId="7" fillId="0" borderId="19" xfId="0" applyNumberFormat="1" applyFont="1" applyBorder="1" applyAlignment="1">
      <alignment horizontal="center"/>
    </xf>
    <xf numFmtId="0" fontId="7" fillId="0" borderId="19" xfId="0" applyNumberFormat="1" applyFont="1" applyBorder="1" applyAlignment="1">
      <alignment horizontal="center"/>
    </xf>
    <xf numFmtId="3" fontId="7" fillId="0" borderId="19" xfId="0" applyNumberFormat="1" applyFont="1" applyBorder="1" applyAlignment="1">
      <alignment horizontal="center"/>
    </xf>
    <xf numFmtId="164" fontId="7" fillId="0" borderId="19" xfId="2" applyNumberFormat="1" applyFont="1" applyBorder="1" applyAlignment="1">
      <alignment horizontal="center"/>
    </xf>
    <xf numFmtId="10" fontId="7" fillId="0" borderId="19" xfId="0" applyNumberFormat="1" applyFont="1" applyBorder="1" applyAlignment="1">
      <alignment horizontal="center"/>
    </xf>
    <xf numFmtId="14" fontId="7" fillId="0" borderId="20" xfId="0" applyNumberFormat="1" applyFont="1" applyBorder="1" applyAlignment="1">
      <alignment horizontal="center"/>
    </xf>
    <xf numFmtId="10" fontId="7" fillId="0" borderId="20" xfId="0" applyNumberFormat="1" applyFont="1" applyBorder="1" applyAlignment="1">
      <alignment horizontal="center"/>
    </xf>
    <xf numFmtId="0" fontId="7" fillId="0" borderId="20" xfId="0" applyNumberFormat="1" applyFont="1" applyBorder="1" applyAlignment="1">
      <alignment horizontal="center"/>
    </xf>
    <xf numFmtId="164" fontId="7" fillId="0" borderId="20" xfId="2" applyNumberFormat="1" applyFont="1" applyBorder="1" applyAlignment="1">
      <alignment horizontal="center"/>
    </xf>
    <xf numFmtId="6" fontId="7" fillId="0" borderId="19" xfId="0" applyNumberFormat="1" applyFont="1" applyBorder="1" applyAlignment="1">
      <alignment horizontal="right"/>
    </xf>
    <xf numFmtId="167" fontId="7" fillId="0" borderId="19" xfId="1" applyNumberFormat="1" applyFont="1" applyBorder="1" applyAlignment="1">
      <alignment horizontal="right"/>
    </xf>
    <xf numFmtId="6" fontId="0" fillId="0" borderId="20" xfId="0" applyNumberFormat="1" applyBorder="1" applyAlignment="1">
      <alignment horizontal="right"/>
    </xf>
    <xf numFmtId="167" fontId="0" fillId="0" borderId="20" xfId="1" applyNumberFormat="1" applyFont="1" applyBorder="1" applyAlignment="1">
      <alignment horizontal="right"/>
    </xf>
    <xf numFmtId="164" fontId="0" fillId="0" borderId="20" xfId="2" applyNumberFormat="1" applyFont="1" applyBorder="1" applyAlignment="1">
      <alignment horizontal="center"/>
    </xf>
    <xf numFmtId="6" fontId="7" fillId="0" borderId="21" xfId="0" applyNumberFormat="1" applyFont="1" applyBorder="1" applyAlignment="1">
      <alignment horizontal="right"/>
    </xf>
    <xf numFmtId="167" fontId="7" fillId="0" borderId="21" xfId="1" applyNumberFormat="1" applyFont="1" applyBorder="1" applyAlignment="1">
      <alignment horizontal="right"/>
    </xf>
    <xf numFmtId="164" fontId="7" fillId="0" borderId="21" xfId="2" applyNumberFormat="1" applyFont="1" applyBorder="1" applyAlignment="1">
      <alignment horizontal="center"/>
    </xf>
    <xf numFmtId="166" fontId="7" fillId="0" borderId="21" xfId="0" applyNumberFormat="1" applyFont="1" applyBorder="1" applyAlignment="1">
      <alignment horizontal="center"/>
    </xf>
    <xf numFmtId="165" fontId="7" fillId="0" borderId="21" xfId="0" applyNumberFormat="1" applyFont="1" applyBorder="1" applyAlignment="1">
      <alignment horizontal="center"/>
    </xf>
    <xf numFmtId="166" fontId="7" fillId="0" borderId="19" xfId="0" applyNumberFormat="1" applyFont="1" applyBorder="1" applyAlignment="1">
      <alignment horizontal="center"/>
    </xf>
    <xf numFmtId="165" fontId="7" fillId="0" borderId="19" xfId="2" applyNumberFormat="1" applyFont="1" applyBorder="1" applyAlignment="1">
      <alignment horizontal="center"/>
    </xf>
    <xf numFmtId="166" fontId="7" fillId="0" borderId="20" xfId="0" applyNumberFormat="1" applyFont="1" applyBorder="1" applyAlignment="1">
      <alignment horizontal="center"/>
    </xf>
    <xf numFmtId="165" fontId="7" fillId="0" borderId="20" xfId="2" applyNumberFormat="1" applyFont="1" applyBorder="1" applyAlignment="1">
      <alignment horizontal="center"/>
    </xf>
    <xf numFmtId="14" fontId="7" fillId="0" borderId="21" xfId="0" applyNumberFormat="1" applyFont="1" applyBorder="1" applyAlignment="1">
      <alignment horizontal="center"/>
    </xf>
    <xf numFmtId="0" fontId="7" fillId="0" borderId="21" xfId="0" applyNumberFormat="1" applyFont="1" applyBorder="1" applyAlignment="1">
      <alignment horizontal="center"/>
    </xf>
    <xf numFmtId="3" fontId="7" fillId="0" borderId="21" xfId="0" applyNumberFormat="1" applyFont="1" applyBorder="1" applyAlignment="1">
      <alignment horizontal="center"/>
    </xf>
    <xf numFmtId="9" fontId="7" fillId="0" borderId="21" xfId="2" applyFont="1" applyBorder="1" applyAlignment="1">
      <alignment horizontal="center"/>
    </xf>
    <xf numFmtId="0" fontId="7" fillId="0" borderId="19" xfId="0" applyFont="1" applyBorder="1" applyAlignment="1">
      <alignment horizontal="left" indent="2"/>
    </xf>
    <xf numFmtId="6" fontId="7" fillId="0" borderId="19" xfId="0" applyNumberFormat="1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0" fillId="0" borderId="20" xfId="0" applyBorder="1"/>
    <xf numFmtId="14" fontId="12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 applyBorder="1" applyAlignment="1">
      <alignment horizontal="right" indent="5"/>
    </xf>
    <xf numFmtId="0" fontId="7" fillId="0" borderId="5" xfId="0" applyFont="1" applyBorder="1" applyAlignment="1">
      <alignment horizontal="right" indent="5"/>
    </xf>
    <xf numFmtId="0" fontId="7" fillId="0" borderId="19" xfId="0" applyFont="1" applyBorder="1" applyAlignment="1">
      <alignment horizontal="left" indent="1"/>
    </xf>
    <xf numFmtId="0" fontId="7" fillId="0" borderId="20" xfId="0" applyFont="1" applyBorder="1" applyAlignment="1">
      <alignment horizontal="left" indent="1"/>
    </xf>
    <xf numFmtId="0" fontId="7" fillId="0" borderId="20" xfId="0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6" fontId="0" fillId="0" borderId="5" xfId="0" applyNumberFormat="1" applyBorder="1" applyAlignment="1">
      <alignment horizontal="right"/>
    </xf>
    <xf numFmtId="0" fontId="11" fillId="0" borderId="8" xfId="0" applyNumberFormat="1" applyFont="1" applyBorder="1" applyAlignment="1">
      <alignment horizontal="center"/>
    </xf>
    <xf numFmtId="0" fontId="7" fillId="0" borderId="0" xfId="0" applyNumberFormat="1" applyFont="1" applyFill="1" applyBorder="1" applyAlignment="1">
      <alignment horizontal="left" indent="1"/>
    </xf>
    <xf numFmtId="0" fontId="0" fillId="0" borderId="0" xfId="0" applyNumberFormat="1" applyAlignment="1">
      <alignment horizontal="right" indent="2"/>
    </xf>
    <xf numFmtId="14" fontId="0" fillId="0" borderId="0" xfId="0" applyNumberFormat="1" applyAlignment="1">
      <alignment horizontal="right" indent="2"/>
    </xf>
    <xf numFmtId="14" fontId="0" fillId="0" borderId="0" xfId="0" applyNumberFormat="1" applyBorder="1" applyAlignment="1">
      <alignment horizontal="right" indent="2"/>
    </xf>
    <xf numFmtId="10" fontId="0" fillId="0" borderId="0" xfId="0" applyNumberFormat="1" applyBorder="1" applyAlignment="1">
      <alignment horizontal="right" indent="2"/>
    </xf>
    <xf numFmtId="0" fontId="0" fillId="0" borderId="0" xfId="0" applyNumberFormat="1" applyAlignment="1">
      <alignment horizontal="left" indent="1"/>
    </xf>
    <xf numFmtId="14" fontId="0" fillId="0" borderId="0" xfId="0" applyNumberFormat="1" applyAlignment="1"/>
    <xf numFmtId="14" fontId="0" fillId="0" borderId="0" xfId="0" applyNumberFormat="1" applyBorder="1" applyAlignment="1"/>
    <xf numFmtId="0" fontId="0" fillId="0" borderId="0" xfId="0" applyNumberFormat="1" applyBorder="1" applyAlignment="1"/>
    <xf numFmtId="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NumberFormat="1" applyAlignment="1">
      <alignment horizontal="center"/>
    </xf>
    <xf numFmtId="8" fontId="0" fillId="0" borderId="0" xfId="0" applyNumberFormat="1" applyAlignment="1">
      <alignment horizontal="right" indent="2"/>
    </xf>
    <xf numFmtId="168" fontId="0" fillId="0" borderId="0" xfId="0" applyNumberFormat="1" applyAlignment="1">
      <alignment horizontal="right" indent="2"/>
    </xf>
    <xf numFmtId="0" fontId="0" fillId="0" borderId="0" xfId="0" applyNumberFormat="1" applyAlignment="1">
      <alignment horizontal="left" indent="2"/>
    </xf>
    <xf numFmtId="0" fontId="0" fillId="0" borderId="0" xfId="0" applyNumberFormat="1" applyBorder="1" applyAlignment="1">
      <alignment horizontal="left" indent="2"/>
    </xf>
    <xf numFmtId="0" fontId="4" fillId="5" borderId="2" xfId="0" applyFont="1" applyFill="1" applyBorder="1"/>
    <xf numFmtId="0" fontId="7" fillId="3" borderId="0" xfId="0" applyFont="1" applyFill="1"/>
    <xf numFmtId="0" fontId="7" fillId="3" borderId="2" xfId="0" applyNumberFormat="1" applyFont="1" applyFill="1" applyBorder="1"/>
    <xf numFmtId="0" fontId="5" fillId="5" borderId="2" xfId="0" applyFont="1" applyFill="1" applyBorder="1"/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0" fillId="3" borderId="3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3" borderId="14" xfId="0" applyFill="1" applyBorder="1" applyAlignment="1">
      <alignment wrapText="1"/>
    </xf>
    <xf numFmtId="0" fontId="7" fillId="3" borderId="3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10" fillId="0" borderId="22" xfId="0" applyFont="1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1" xfId="0" applyBorder="1"/>
  </cellXfs>
  <cellStyles count="4">
    <cellStyle name="Accent1" xfId="3" builtinId="29" customBuiltin="1"/>
    <cellStyle name="Currency" xfId="1" builtinId="4"/>
    <cellStyle name="Normal" xfId="0" builtinId="0"/>
    <cellStyle name="Percent" xfId="2" builtinId="5"/>
  </cellStyles>
  <dxfs count="68"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  <border>
        <top style="medium">
          <color theme="5"/>
        </top>
      </border>
    </dxf>
    <dxf>
      <fill>
        <patternFill patternType="solid">
          <bgColor theme="4" tint="0.79998168889431442"/>
        </patternFill>
      </fill>
      <border>
        <top style="medium">
          <color theme="5"/>
        </top>
      </border>
    </dxf>
    <dxf>
      <fill>
        <patternFill patternType="solid">
          <bgColor theme="4" tint="0.79998168889431442"/>
        </patternFill>
      </fill>
      <border>
        <top style="medium">
          <color theme="5"/>
        </top>
      </border>
    </dxf>
    <dxf>
      <fill>
        <patternFill patternType="solid">
          <bgColor theme="4" tint="0.79998168889431442"/>
        </patternFill>
      </fill>
      <border>
        <top style="medium">
          <color theme="5"/>
        </top>
      </border>
    </dxf>
    <dxf>
      <border>
        <top style="thin">
          <color theme="4" tint="-0.24994659260841701"/>
        </top>
      </border>
    </dxf>
    <dxf>
      <border>
        <top style="thin">
          <color theme="4" tint="-0.24994659260841701"/>
        </top>
      </border>
    </dxf>
    <dxf>
      <border>
        <top style="medium">
          <color theme="5"/>
        </top>
      </border>
    </dxf>
    <dxf>
      <border>
        <top style="medium">
          <color theme="5"/>
        </top>
      </border>
    </dxf>
    <dxf>
      <font>
        <b val="0"/>
      </font>
    </dxf>
    <dxf>
      <font>
        <sz val="1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top style="medium">
          <color theme="5"/>
        </top>
      </border>
    </dxf>
    <dxf>
      <border>
        <top style="medium">
          <color theme="5"/>
        </top>
      </border>
    </dxf>
    <dxf>
      <border>
        <top style="medium">
          <color theme="5"/>
        </top>
      </border>
    </dxf>
    <dxf>
      <border>
        <top style="medium">
          <color theme="5"/>
        </top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top style="medium">
          <color theme="5"/>
        </top>
      </border>
    </dxf>
    <dxf>
      <border>
        <top style="thin">
          <color theme="4" tint="-0.24994659260841701"/>
        </top>
      </border>
    </dxf>
    <dxf>
      <border>
        <top style="thin">
          <color theme="4" tint="-0.24994659260841701"/>
        </top>
      </border>
    </dxf>
    <dxf>
      <font>
        <sz val="10"/>
      </font>
    </dxf>
    <dxf>
      <border>
        <top style="medium">
          <color theme="5"/>
        </top>
      </border>
    </dxf>
    <dxf>
      <border>
        <top style="medium">
          <color theme="5"/>
        </top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border>
        <top style="thin">
          <color theme="4" tint="-0.24994659260841701"/>
        </top>
      </border>
    </dxf>
    <dxf>
      <border>
        <top style="medium">
          <color theme="5"/>
        </top>
      </border>
    </dxf>
    <dxf>
      <border>
        <top style="medium">
          <color theme="5"/>
        </top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auto="1"/>
      </font>
      <fill>
        <patternFill>
          <bgColor rgb="FFAED4B4"/>
        </patternFill>
      </fill>
    </dxf>
    <dxf>
      <font>
        <color auto="1"/>
      </font>
      <fill>
        <patternFill>
          <bgColor rgb="FFF9EAA0"/>
        </patternFill>
      </fill>
    </dxf>
    <dxf>
      <font>
        <color auto="1"/>
      </font>
      <fill>
        <patternFill>
          <bgColor rgb="FFE28174"/>
        </patternFill>
      </fill>
    </dxf>
  </dxfs>
  <tableStyles count="0" defaultTableStyle="TableStyleMedium9" defaultPivotStyle="PivotStyleLight16"/>
  <colors>
    <mruColors>
      <color rgb="FFAED4B4"/>
      <color rgb="FFF9EAA0"/>
      <color rgb="FFE28174"/>
      <color rgb="FFE9F1F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pivotSource>
    <c:name>[Report Project Variance Revised by CE.xlsx]Project Variance % Chart!PivotTable1</c:name>
    <c:fmtId val="0"/>
  </c:pivotSource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Project Variance %</a:t>
            </a:r>
          </a:p>
        </c:rich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'Project Variance % Chart'!$B$21:$B$22</c:f>
              <c:strCache>
                <c:ptCount val="1"/>
                <c:pt idx="0">
                  <c:v>Schedule Variance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35000"/>
                </a:srgbClr>
              </a:outerShdw>
            </a:effectLst>
          </c:spPr>
          <c:cat>
            <c:strRef>
              <c:f>'Project Variance % Chart'!$A$23:$A$26</c:f>
              <c:strCache>
                <c:ptCount val="3"/>
                <c:pt idx="0">
                  <c:v>Campaign message developed</c:v>
                </c:pt>
                <c:pt idx="1">
                  <c:v>Create campaign execution plan</c:v>
                </c:pt>
                <c:pt idx="2">
                  <c:v>Establish PR lists</c:v>
                </c:pt>
              </c:strCache>
            </c:strRef>
          </c:cat>
          <c:val>
            <c:numRef>
              <c:f>'Project Variance % Chart'!$B$23:$B$26</c:f>
              <c:numCache>
                <c:formatCode>General</c:formatCode>
                <c:ptCount val="3"/>
                <c:pt idx="0">
                  <c:v>-0.23728813559322134</c:v>
                </c:pt>
                <c:pt idx="1">
                  <c:v>0</c:v>
                </c:pt>
                <c:pt idx="2">
                  <c:v>-1.6949152542372881E-2</c:v>
                </c:pt>
              </c:numCache>
            </c:numRef>
          </c:val>
        </c:ser>
        <c:ser>
          <c:idx val="1"/>
          <c:order val="1"/>
          <c:tx>
            <c:strRef>
              <c:f>'Project Variance % Chart'!$C$21:$C$22</c:f>
              <c:strCache>
                <c:ptCount val="1"/>
                <c:pt idx="0">
                  <c:v>Cost Variance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35000"/>
                </a:srgbClr>
              </a:outerShdw>
            </a:effectLst>
          </c:spPr>
          <c:cat>
            <c:strRef>
              <c:f>'Project Variance % Chart'!$A$23:$A$26</c:f>
              <c:strCache>
                <c:ptCount val="3"/>
                <c:pt idx="0">
                  <c:v>Campaign message developed</c:v>
                </c:pt>
                <c:pt idx="1">
                  <c:v>Create campaign execution plan</c:v>
                </c:pt>
                <c:pt idx="2">
                  <c:v>Establish PR lists</c:v>
                </c:pt>
              </c:strCache>
            </c:strRef>
          </c:cat>
          <c:val>
            <c:numRef>
              <c:f>'Project Variance % Chart'!$C$23:$C$26</c:f>
              <c:numCache>
                <c:formatCode>General</c:formatCode>
                <c:ptCount val="3"/>
                <c:pt idx="0">
                  <c:v>-3.333333333333334E-2</c:v>
                </c:pt>
                <c:pt idx="1">
                  <c:v>1</c:v>
                </c:pt>
                <c:pt idx="2">
                  <c:v>-0.25</c:v>
                </c:pt>
              </c:numCache>
            </c:numRef>
          </c:val>
        </c:ser>
        <c:ser>
          <c:idx val="2"/>
          <c:order val="2"/>
          <c:tx>
            <c:strRef>
              <c:f>'Project Variance % Chart'!$D$21:$D$22</c:f>
              <c:strCache>
                <c:ptCount val="1"/>
                <c:pt idx="0">
                  <c:v>Resource Variance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35000"/>
                </a:srgbClr>
              </a:outerShdw>
            </a:effectLst>
          </c:spPr>
          <c:cat>
            <c:strRef>
              <c:f>'Project Variance % Chart'!$A$23:$A$26</c:f>
              <c:strCache>
                <c:ptCount val="3"/>
                <c:pt idx="0">
                  <c:v>Campaign message developed</c:v>
                </c:pt>
                <c:pt idx="1">
                  <c:v>Create campaign execution plan</c:v>
                </c:pt>
                <c:pt idx="2">
                  <c:v>Establish PR lists</c:v>
                </c:pt>
              </c:strCache>
            </c:strRef>
          </c:cat>
          <c:val>
            <c:numRef>
              <c:f>'Project Variance % Chart'!$D$23:$D$26</c:f>
              <c:numCache>
                <c:formatCode>General</c:formatCode>
                <c:ptCount val="3"/>
                <c:pt idx="0">
                  <c:v>-0.05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axId val="131508096"/>
        <c:axId val="131599360"/>
      </c:barChart>
      <c:catAx>
        <c:axId val="13150809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131599360"/>
        <c:crosses val="autoZero"/>
        <c:auto val="1"/>
        <c:lblAlgn val="ctr"/>
        <c:lblOffset val="100"/>
      </c:catAx>
      <c:valAx>
        <c:axId val="131599360"/>
        <c:scaling>
          <c:orientation val="minMax"/>
        </c:scaling>
        <c:axPos val="l"/>
        <c:majorGridlines/>
        <c:numFmt formatCode="0.0%" sourceLinked="0"/>
        <c:majorTickMark val="none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131508096"/>
        <c:crosses val="autoZero"/>
        <c:crossBetween val="between"/>
      </c:valAx>
    </c:plotArea>
    <c:legend>
      <c:legendPos val="r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span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pivotSource>
    <c:name>[Report Project Variance Revised by CE.xlsx]Sheet2!PivotTable2</c:name>
    <c:fmtId val="0"/>
  </c:pivotSource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Schedule and Budget Variance</a:t>
            </a:r>
          </a:p>
        </c:rich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Sheet2!$B$21:$B$22</c:f>
              <c:strCache>
                <c:ptCount val="1"/>
                <c:pt idx="0">
                  <c:v>Schedule Variance in Days</c:v>
                </c:pt>
              </c:strCache>
            </c:strRef>
          </c:tx>
          <c:cat>
            <c:strRef>
              <c:f>Sheet2!$A$23:$A$26</c:f>
              <c:strCache>
                <c:ptCount val="3"/>
                <c:pt idx="0">
                  <c:v>Campaign message developed</c:v>
                </c:pt>
                <c:pt idx="1">
                  <c:v>Create campaign execution plan</c:v>
                </c:pt>
                <c:pt idx="2">
                  <c:v>Establish PR lists</c:v>
                </c:pt>
              </c:strCache>
            </c:strRef>
          </c:cat>
          <c:val>
            <c:numRef>
              <c:f>Sheet2!$B$23:$B$26</c:f>
              <c:numCache>
                <c:formatCode>General</c:formatCode>
                <c:ptCount val="3"/>
                <c:pt idx="0">
                  <c:v>-14</c:v>
                </c:pt>
                <c:pt idx="1">
                  <c:v>0</c:v>
                </c:pt>
                <c:pt idx="2">
                  <c:v>-1</c:v>
                </c:pt>
              </c:numCache>
            </c:numRef>
          </c:val>
        </c:ser>
        <c:axId val="131828736"/>
        <c:axId val="131187456"/>
      </c:barChart>
      <c:lineChart>
        <c:grouping val="standard"/>
        <c:ser>
          <c:idx val="1"/>
          <c:order val="1"/>
          <c:tx>
            <c:strRef>
              <c:f>Sheet2!$C$21:$C$22</c:f>
              <c:strCache>
                <c:ptCount val="1"/>
                <c:pt idx="0">
                  <c:v>Budget Variance in Dollars</c:v>
                </c:pt>
              </c:strCache>
            </c:strRef>
          </c:tx>
          <c:marker>
            <c:symbol val="none"/>
          </c:marker>
          <c:cat>
            <c:strRef>
              <c:f>Sheet2!$A$23:$A$26</c:f>
              <c:strCache>
                <c:ptCount val="3"/>
                <c:pt idx="0">
                  <c:v>Campaign message developed</c:v>
                </c:pt>
                <c:pt idx="1">
                  <c:v>Create campaign execution plan</c:v>
                </c:pt>
                <c:pt idx="2">
                  <c:v>Establish PR lists</c:v>
                </c:pt>
              </c:strCache>
            </c:strRef>
          </c:cat>
          <c:val>
            <c:numRef>
              <c:f>Sheet2!$C$23:$C$26</c:f>
              <c:numCache>
                <c:formatCode>General</c:formatCode>
                <c:ptCount val="3"/>
                <c:pt idx="0">
                  <c:v>-100</c:v>
                </c:pt>
                <c:pt idx="1">
                  <c:v>100</c:v>
                </c:pt>
                <c:pt idx="2">
                  <c:v>-500</c:v>
                </c:pt>
              </c:numCache>
            </c:numRef>
          </c:val>
        </c:ser>
        <c:marker val="1"/>
        <c:axId val="131828736"/>
        <c:axId val="131187456"/>
      </c:lineChart>
      <c:catAx>
        <c:axId val="13182873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131187456"/>
        <c:crosses val="autoZero"/>
        <c:auto val="1"/>
        <c:lblAlgn val="ctr"/>
        <c:lblOffset val="100"/>
      </c:catAx>
      <c:valAx>
        <c:axId val="13118745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131828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663867016622961"/>
          <c:y val="0.49462696473285833"/>
          <c:w val="0.27669444444444447"/>
          <c:h val="0.21584155428847251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zero"/>
  </c:chart>
  <c:printSettings>
    <c:headerFooter>
      <c:oddFooter>&amp;L&amp;9Page &amp;P of &amp;N&amp;C&amp;9CONFIDENTIAL | Document Title</c:oddFooter>
    </c:headerFooter>
    <c:pageMargins b="0.75000000000000211" l="0.70000000000000095" r="0.70000000000000095" t="0.75000000000000211" header="0.30000000000000032" footer="0.30000000000000032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[xStatusReportforProjectSponsors_TP10204408.xltx]Resource Var Chart!PivotTable1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sz="1600" smtClean="0"/>
              <a:t>Resource</a:t>
            </a:r>
            <a:r>
              <a:rPr lang="en-US" smtClean="0"/>
              <a:t> Variance</a:t>
            </a:r>
            <a:endParaRPr lang="en-US"/>
          </a:p>
        </c:rich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numFmt formatCode="General" sourceLinked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spPr>
          <a:solidFill>
            <a:schemeClr val="accent1"/>
          </a:solidFill>
          <a:effectLst>
            <a:outerShdw blurRad="50800" dist="50800" dir="5400000" algn="ctr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axId val="131495424"/>
        <c:axId val="131496960"/>
      </c:barChart>
      <c:catAx>
        <c:axId val="131495424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131496960"/>
        <c:crosses val="autoZero"/>
        <c:auto val="1"/>
        <c:lblAlgn val="ctr"/>
        <c:lblOffset val="100"/>
      </c:catAx>
      <c:valAx>
        <c:axId val="13149696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131495424"/>
        <c:crosses val="autoZero"/>
        <c:crossBetween val="between"/>
      </c:valAx>
    </c:plotArea>
    <c:legend>
      <c:legendPos val="r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span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 horizontalDpi="1" verticalDpi="1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4572000" cy="3286125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572000" cy="33147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572000" cy="27432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9030.37213773148" createdVersion="3" refreshedVersion="3" minRefreshableVersion="3" recordCount="3">
  <cacheSource type="worksheet">
    <worksheetSource ref="B18:AA21" sheet="Project Status Report"/>
  </cacheSource>
  <cacheFields count="26">
    <cacheField name="Work&#10;Component Name" numFmtId="0">
      <sharedItems/>
    </cacheField>
    <cacheField name="Work&#10;Component Type" numFmtId="0">
      <sharedItems/>
    </cacheField>
    <cacheField name="Work&#10;Component Owner" numFmtId="0">
      <sharedItems/>
    </cacheField>
    <cacheField name="Milestone" numFmtId="0">
      <sharedItems count="2">
        <s v="Yes"/>
        <s v="No"/>
      </sharedItems>
    </cacheField>
    <cacheField name="Critical" numFmtId="0">
      <sharedItems count="2">
        <s v="No"/>
        <s v="Yes"/>
      </sharedItems>
    </cacheField>
    <cacheField name="Planned&#10;StartDate" numFmtId="14">
      <sharedItems containsSemiMixedTypes="0" containsNonDate="0" containsDate="1" containsString="0" minDate="2006-01-01T00:00:00" maxDate="2006-02-02T00:00:00"/>
    </cacheField>
    <cacheField name="Actual &#10;Start Date" numFmtId="14">
      <sharedItems containsSemiMixedTypes="0" containsNonDate="0" containsDate="1" containsString="0" minDate="2006-01-02T00:00:00" maxDate="2006-02-02T00:00:00"/>
    </cacheField>
    <cacheField name="Planned Finish Date" numFmtId="14">
      <sharedItems containsSemiMixedTypes="0" containsNonDate="0" containsDate="1" containsString="0" minDate="2006-02-05T00:00:00" maxDate="2006-03-02T00:00:00"/>
    </cacheField>
    <cacheField name="Est. / Actual Finish Date" numFmtId="14">
      <sharedItems containsSemiMixedTypes="0" containsNonDate="0" containsDate="1" containsString="0" minDate="2006-02-05T00:00:00" maxDate="2006-03-16T00:00:00"/>
    </cacheField>
    <cacheField name="Complete?" numFmtId="0">
      <sharedItems containsSemiMixedTypes="0" containsString="0" containsNumber="1" containsInteger="1" minValue="1" maxValue="1"/>
    </cacheField>
    <cacheField name="Schedule&#10;Variance (Days)" numFmtId="3">
      <sharedItems containsSemiMixedTypes="0" containsString="0" containsNumber="1" containsInteger="1" minValue="-14" maxValue="0"/>
    </cacheField>
    <cacheField name="Schedule Variance %" numFmtId="164">
      <sharedItems containsSemiMixedTypes="0" containsString="0" containsNumber="1" minValue="-0.23728813559322035" maxValue="0"/>
    </cacheField>
    <cacheField name="Schedule Status" numFmtId="0">
      <sharedItems containsSemiMixedTypes="0" containsString="0" containsNumber="1" containsInteger="1" minValue="1" maxValue="3"/>
    </cacheField>
    <cacheField name="Schedule Notes" numFmtId="0">
      <sharedItems/>
    </cacheField>
    <cacheField name="Schedule Recovery Plan" numFmtId="0">
      <sharedItems/>
    </cacheField>
    <cacheField name="Planned Budget" numFmtId="6">
      <sharedItems containsSemiMixedTypes="0" containsString="0" containsNumber="1" containsInteger="1" minValue="100" maxValue="3000"/>
    </cacheField>
    <cacheField name="Actual&#10;Cost to Date" numFmtId="6">
      <sharedItems containsSemiMixedTypes="0" containsString="0" containsNumber="1" containsInteger="1" minValue="0" maxValue="3100"/>
    </cacheField>
    <cacheField name="Budget Variance" numFmtId="167">
      <sharedItems containsSemiMixedTypes="0" containsString="0" containsNumber="1" containsInteger="1" minValue="-500" maxValue="100"/>
    </cacheField>
    <cacheField name="Budget Variance %" numFmtId="164">
      <sharedItems containsSemiMixedTypes="0" containsString="0" containsNumber="1" minValue="-0.25" maxValue="1"/>
    </cacheField>
    <cacheField name="Budget Status" numFmtId="0">
      <sharedItems containsSemiMixedTypes="0" containsString="0" containsNumber="1" containsInteger="1" minValue="1" maxValue="2"/>
    </cacheField>
    <cacheField name="Cost Notes" numFmtId="0">
      <sharedItems/>
    </cacheField>
    <cacheField name="Cost&#10;Recovery Plan" numFmtId="0">
      <sharedItems/>
    </cacheField>
    <cacheField name="Planned Resource (Hrs)" numFmtId="166">
      <sharedItems containsSemiMixedTypes="0" containsString="0" containsNumber="1" containsInteger="1" minValue="1000" maxValue="4000"/>
    </cacheField>
    <cacheField name="Actual &#10;Hours to Date" numFmtId="166">
      <sharedItems containsSemiMixedTypes="0" containsString="0" containsNumber="1" containsInteger="1" minValue="950" maxValue="4300"/>
    </cacheField>
    <cacheField name="Resource Variance (Hrs)" numFmtId="165">
      <sharedItems containsSemiMixedTypes="0" containsString="0" containsNumber="1" containsInteger="1" minValue="-300" maxValue="50"/>
    </cacheField>
    <cacheField name="Resource Variance %" numFmtId="164">
      <sharedItems containsSemiMixedTypes="0" containsString="0" containsNumber="1" minValue="-7.4999999999999997E-2" maxValue="0.05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39030.372139236111" createdVersion="3" refreshedVersion="3" minRefreshableVersion="3" recordCount="3">
  <cacheSource type="worksheet">
    <worksheetSource ref="B18:U21" sheet="Project Status Report"/>
  </cacheSource>
  <cacheFields count="20">
    <cacheField name="Work&#10;Component Name" numFmtId="0">
      <sharedItems/>
    </cacheField>
    <cacheField name="Work&#10;Component Type" numFmtId="0">
      <sharedItems/>
    </cacheField>
    <cacheField name="Work&#10;Component Owner" numFmtId="0">
      <sharedItems/>
    </cacheField>
    <cacheField name="Milestone" numFmtId="0">
      <sharedItems count="2">
        <s v="Yes"/>
        <s v="No"/>
      </sharedItems>
    </cacheField>
    <cacheField name="Critical" numFmtId="0">
      <sharedItems count="2">
        <s v="No"/>
        <s v="Yes"/>
      </sharedItems>
    </cacheField>
    <cacheField name="Planned&#10;StartDate" numFmtId="14">
      <sharedItems containsSemiMixedTypes="0" containsNonDate="0" containsDate="1" containsString="0" minDate="2006-01-01T00:00:00" maxDate="2006-02-02T00:00:00"/>
    </cacheField>
    <cacheField name="Actual &#10;Start Date" numFmtId="14">
      <sharedItems containsSemiMixedTypes="0" containsNonDate="0" containsDate="1" containsString="0" minDate="2006-01-02T00:00:00" maxDate="2006-02-02T00:00:00"/>
    </cacheField>
    <cacheField name="Planned Finish Date" numFmtId="14">
      <sharedItems containsSemiMixedTypes="0" containsNonDate="0" containsDate="1" containsString="0" minDate="2006-02-05T00:00:00" maxDate="2006-03-02T00:00:00"/>
    </cacheField>
    <cacheField name="Est. / Actual Finish Date" numFmtId="14">
      <sharedItems containsSemiMixedTypes="0" containsNonDate="0" containsDate="1" containsString="0" minDate="2006-02-05T00:00:00" maxDate="2006-03-16T00:00:00"/>
    </cacheField>
    <cacheField name="Complete?" numFmtId="0">
      <sharedItems containsSemiMixedTypes="0" containsString="0" containsNumber="1" containsInteger="1" minValue="1" maxValue="1"/>
    </cacheField>
    <cacheField name="Schedule&#10;Variance (Days)" numFmtId="3">
      <sharedItems containsSemiMixedTypes="0" containsString="0" containsNumber="1" containsInteger="1" minValue="-14" maxValue="0"/>
    </cacheField>
    <cacheField name="Schedule Variance %" numFmtId="164">
      <sharedItems containsSemiMixedTypes="0" containsString="0" containsNumber="1" minValue="-0.23728813559322035" maxValue="0"/>
    </cacheField>
    <cacheField name="Schedule Status" numFmtId="0">
      <sharedItems containsSemiMixedTypes="0" containsString="0" containsNumber="1" containsInteger="1" minValue="1" maxValue="3"/>
    </cacheField>
    <cacheField name="Schedule Notes" numFmtId="0">
      <sharedItems/>
    </cacheField>
    <cacheField name="Schedule Recovery Plan" numFmtId="0">
      <sharedItems/>
    </cacheField>
    <cacheField name="Planned Budget" numFmtId="6">
      <sharedItems containsSemiMixedTypes="0" containsString="0" containsNumber="1" containsInteger="1" minValue="100" maxValue="3000"/>
    </cacheField>
    <cacheField name="Actual&#10;Cost to Date" numFmtId="6">
      <sharedItems containsSemiMixedTypes="0" containsString="0" containsNumber="1" containsInteger="1" minValue="0" maxValue="3100"/>
    </cacheField>
    <cacheField name="Budget Variance" numFmtId="167">
      <sharedItems containsSemiMixedTypes="0" containsString="0" containsNumber="1" containsInteger="1" minValue="-500" maxValue="100"/>
    </cacheField>
    <cacheField name="Budget Variance %" numFmtId="164">
      <sharedItems containsSemiMixedTypes="0" containsString="0" containsNumber="1" minValue="-0.25" maxValue="1"/>
    </cacheField>
    <cacheField name="Budget Status" numFmtId="0">
      <sharedItems containsSemiMixedTypes="0" containsString="0" containsNumber="1" containsInteger="1" minValue="1" maxValue="2"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39030.372139583335" createdVersion="3" refreshedVersion="3" minRefreshableVersion="3" recordCount="3">
  <cacheSource type="worksheet">
    <worksheetSource ref="A18:AB21" sheet="Project Status Report"/>
  </cacheSource>
  <cacheFields count="28">
    <cacheField name="Work&#10;Component ID" numFmtId="0">
      <sharedItems containsMixedTypes="1" containsNumber="1" minValue="3.1" maxValue="3.2"/>
    </cacheField>
    <cacheField name="Work&#10;Component Name" numFmtId="0">
      <sharedItems/>
    </cacheField>
    <cacheField name="Work&#10;Component Type" numFmtId="0">
      <sharedItems/>
    </cacheField>
    <cacheField name="Work&#10;Component Owner" numFmtId="0">
      <sharedItems/>
    </cacheField>
    <cacheField name="Milestone" numFmtId="0">
      <sharedItems count="2">
        <s v="Yes"/>
        <s v="No"/>
      </sharedItems>
    </cacheField>
    <cacheField name="Critical" numFmtId="0">
      <sharedItems count="2">
        <s v="No"/>
        <s v="Yes"/>
      </sharedItems>
    </cacheField>
    <cacheField name="Planned&#10;StartDate" numFmtId="14">
      <sharedItems containsSemiMixedTypes="0" containsNonDate="0" containsDate="1" containsString="0" minDate="2006-01-01T00:00:00" maxDate="2006-02-02T00:00:00"/>
    </cacheField>
    <cacheField name="Actual &#10;Start Date" numFmtId="14">
      <sharedItems containsSemiMixedTypes="0" containsNonDate="0" containsDate="1" containsString="0" minDate="2006-01-02T00:00:00" maxDate="2006-02-02T00:00:00"/>
    </cacheField>
    <cacheField name="Planned Finish Date" numFmtId="14">
      <sharedItems containsSemiMixedTypes="0" containsNonDate="0" containsDate="1" containsString="0" minDate="2006-02-05T00:00:00" maxDate="2006-03-02T00:00:00"/>
    </cacheField>
    <cacheField name="Est. / Actual Finish Date" numFmtId="14">
      <sharedItems containsSemiMixedTypes="0" containsNonDate="0" containsDate="1" containsString="0" minDate="2006-02-05T00:00:00" maxDate="2006-03-16T00:00:00"/>
    </cacheField>
    <cacheField name="Complete?" numFmtId="0">
      <sharedItems containsSemiMixedTypes="0" containsString="0" containsNumber="1" containsInteger="1" minValue="1" maxValue="1"/>
    </cacheField>
    <cacheField name="Schedule&#10;Variance (Days)" numFmtId="3">
      <sharedItems containsSemiMixedTypes="0" containsString="0" containsNumber="1" containsInteger="1" minValue="-14" maxValue="0"/>
    </cacheField>
    <cacheField name="Schedule Variance %" numFmtId="164">
      <sharedItems containsSemiMixedTypes="0" containsString="0" containsNumber="1" minValue="-0.23728813559322035" maxValue="0"/>
    </cacheField>
    <cacheField name="Schedule Status" numFmtId="0">
      <sharedItems containsSemiMixedTypes="0" containsString="0" containsNumber="1" containsInteger="1" minValue="1" maxValue="3"/>
    </cacheField>
    <cacheField name="Schedule Notes" numFmtId="0">
      <sharedItems/>
    </cacheField>
    <cacheField name="Schedule Recovery Plan" numFmtId="0">
      <sharedItems/>
    </cacheField>
    <cacheField name="Planned Budget" numFmtId="6">
      <sharedItems containsSemiMixedTypes="0" containsString="0" containsNumber="1" containsInteger="1" minValue="100" maxValue="3000"/>
    </cacheField>
    <cacheField name="Actual&#10;Cost to Date" numFmtId="6">
      <sharedItems containsSemiMixedTypes="0" containsString="0" containsNumber="1" containsInteger="1" minValue="0" maxValue="3100"/>
    </cacheField>
    <cacheField name="Budget Variance" numFmtId="167">
      <sharedItems containsSemiMixedTypes="0" containsString="0" containsNumber="1" containsInteger="1" minValue="-500" maxValue="100"/>
    </cacheField>
    <cacheField name="Budget Variance %" numFmtId="164">
      <sharedItems containsSemiMixedTypes="0" containsString="0" containsNumber="1" minValue="-0.25" maxValue="1"/>
    </cacheField>
    <cacheField name="Budget Status" numFmtId="0">
      <sharedItems containsSemiMixedTypes="0" containsString="0" containsNumber="1" containsInteger="1" minValue="1" maxValue="2"/>
    </cacheField>
    <cacheField name="Cost Notes" numFmtId="0">
      <sharedItems/>
    </cacheField>
    <cacheField name="Cost&#10;Recovery Plan" numFmtId="0">
      <sharedItems/>
    </cacheField>
    <cacheField name="Planned Resource (Hrs)" numFmtId="166">
      <sharedItems containsSemiMixedTypes="0" containsString="0" containsNumber="1" containsInteger="1" minValue="1000" maxValue="4000"/>
    </cacheField>
    <cacheField name="Actual &#10;Hours to Date" numFmtId="166">
      <sharedItems containsSemiMixedTypes="0" containsString="0" containsNumber="1" containsInteger="1" minValue="950" maxValue="4300"/>
    </cacheField>
    <cacheField name="Resource Variance (Hrs)" numFmtId="165">
      <sharedItems containsSemiMixedTypes="0" containsString="0" containsNumber="1" containsInteger="1" minValue="-300" maxValue="50"/>
    </cacheField>
    <cacheField name="Resource Variance %" numFmtId="164">
      <sharedItems containsSemiMixedTypes="0" containsString="0" containsNumber="1" minValue="-7.4999999999999997E-2" maxValue="0.05"/>
    </cacheField>
    <cacheField name="Resource Status" numFmtId="0">
      <sharedItems containsSemiMixedTypes="0" containsString="0" containsNumber="1" containsInteger="1" minValue="1" maxValue="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s v="Campaign message developed"/>
    <s v="Sub-project"/>
    <s v="Anna Franklin"/>
    <x v="0"/>
    <x v="0"/>
    <d v="2006-01-01T00:00:00"/>
    <d v="2006-01-10T00:00:00"/>
    <d v="2006-03-01T00:00:00"/>
    <d v="2006-03-15T00:00:00"/>
    <n v="1"/>
    <n v="-14"/>
    <n v="-0.23728813559322035"/>
    <n v="3"/>
    <s v=""/>
    <s v=""/>
    <n v="3000"/>
    <n v="3100"/>
    <n v="-100"/>
    <n v="-3.3333333333333333E-2"/>
    <n v="1"/>
    <s v=""/>
    <s v=""/>
    <n v="4000"/>
    <n v="4200"/>
    <n v="-200"/>
    <n v="-0.05"/>
  </r>
  <r>
    <s v="Establish PR lists"/>
    <s v="Activity"/>
    <s v="Frank Taylor"/>
    <x v="1"/>
    <x v="1"/>
    <d v="2006-01-01T00:00:00"/>
    <d v="2006-01-02T00:00:00"/>
    <d v="2006-03-01T00:00:00"/>
    <d v="2006-03-02T00:00:00"/>
    <n v="1"/>
    <n v="-1"/>
    <n v="-1.6949152542372881E-2"/>
    <n v="1"/>
    <s v=""/>
    <s v=""/>
    <n v="2000"/>
    <n v="2500"/>
    <n v="-500"/>
    <n v="-0.25"/>
    <n v="2"/>
    <s v=""/>
    <s v=""/>
    <n v="4000"/>
    <n v="4300"/>
    <n v="-300"/>
    <n v="-7.4999999999999997E-2"/>
  </r>
  <r>
    <s v="Create campaign execution plan"/>
    <s v="Sub-project"/>
    <s v="Anna Franklin"/>
    <x v="0"/>
    <x v="0"/>
    <d v="2006-02-01T00:00:00"/>
    <d v="2006-02-01T00:00:00"/>
    <d v="2006-02-05T00:00:00"/>
    <d v="2006-02-05T00:00:00"/>
    <n v="1"/>
    <n v="0"/>
    <n v="0"/>
    <n v="1"/>
    <s v=""/>
    <s v=""/>
    <n v="100"/>
    <n v="0"/>
    <n v="100"/>
    <n v="1"/>
    <n v="1"/>
    <s v=""/>
    <s v=""/>
    <n v="1000"/>
    <n v="950"/>
    <n v="50"/>
    <n v="0.0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s v="Campaign message developed"/>
    <s v="Sub-project"/>
    <s v="Anna Franklin"/>
    <x v="0"/>
    <x v="0"/>
    <d v="2006-01-01T00:00:00"/>
    <d v="2006-01-10T00:00:00"/>
    <d v="2006-03-01T00:00:00"/>
    <d v="2006-03-15T00:00:00"/>
    <n v="1"/>
    <n v="-14"/>
    <n v="-0.23728813559322035"/>
    <n v="3"/>
    <s v=""/>
    <s v=""/>
    <n v="3000"/>
    <n v="3100"/>
    <n v="-100"/>
    <n v="-3.3333333333333333E-2"/>
    <n v="1"/>
  </r>
  <r>
    <s v="Establish PR lists"/>
    <s v="Activity"/>
    <s v="Frank Taylor"/>
    <x v="1"/>
    <x v="1"/>
    <d v="2006-01-01T00:00:00"/>
    <d v="2006-01-02T00:00:00"/>
    <d v="2006-03-01T00:00:00"/>
    <d v="2006-03-02T00:00:00"/>
    <n v="1"/>
    <n v="-1"/>
    <n v="-1.6949152542372881E-2"/>
    <n v="1"/>
    <s v=""/>
    <s v=""/>
    <n v="2000"/>
    <n v="2500"/>
    <n v="-500"/>
    <n v="-0.25"/>
    <n v="2"/>
  </r>
  <r>
    <s v="Create campaign execution plan"/>
    <s v="Sub-project"/>
    <s v="Anna Franklin"/>
    <x v="0"/>
    <x v="0"/>
    <d v="2006-02-01T00:00:00"/>
    <d v="2006-02-01T00:00:00"/>
    <d v="2006-02-05T00:00:00"/>
    <d v="2006-02-05T00:00:00"/>
    <n v="1"/>
    <n v="0"/>
    <n v="0"/>
    <n v="1"/>
    <s v=""/>
    <s v=""/>
    <n v="100"/>
    <n v="0"/>
    <n v="100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n v="3.1"/>
    <s v="Campaign message developed"/>
    <s v="Sub-project"/>
    <s v="Anna Franklin"/>
    <x v="0"/>
    <x v="0"/>
    <d v="2006-01-01T00:00:00"/>
    <d v="2006-01-10T00:00:00"/>
    <d v="2006-03-01T00:00:00"/>
    <d v="2006-03-15T00:00:00"/>
    <n v="1"/>
    <n v="-14"/>
    <n v="-0.23728813559322035"/>
    <n v="3"/>
    <s v=""/>
    <s v=""/>
    <n v="3000"/>
    <n v="3100"/>
    <n v="-100"/>
    <n v="-3.3333333333333333E-2"/>
    <n v="1"/>
    <s v=""/>
    <s v=""/>
    <n v="4000"/>
    <n v="4200"/>
    <n v="-200"/>
    <n v="-0.05"/>
    <n v="3"/>
  </r>
  <r>
    <s v="3.1.1"/>
    <s v="Establish PR lists"/>
    <s v="Activity"/>
    <s v="Frank Taylor"/>
    <x v="1"/>
    <x v="1"/>
    <d v="2006-01-01T00:00:00"/>
    <d v="2006-01-02T00:00:00"/>
    <d v="2006-03-01T00:00:00"/>
    <d v="2006-03-02T00:00:00"/>
    <n v="1"/>
    <n v="-1"/>
    <n v="-1.6949152542372881E-2"/>
    <n v="1"/>
    <s v=""/>
    <s v=""/>
    <n v="2000"/>
    <n v="2500"/>
    <n v="-500"/>
    <n v="-0.25"/>
    <n v="2"/>
    <s v=""/>
    <s v=""/>
    <n v="4000"/>
    <n v="4300"/>
    <n v="-300"/>
    <n v="-7.4999999999999997E-2"/>
    <n v="3"/>
  </r>
  <r>
    <n v="3.2"/>
    <s v="Create campaign execution plan"/>
    <s v="Sub-project"/>
    <s v="Anna Franklin"/>
    <x v="0"/>
    <x v="0"/>
    <d v="2006-02-01T00:00:00"/>
    <d v="2006-02-01T00:00:00"/>
    <d v="2006-02-05T00:00:00"/>
    <d v="2006-02-05T00:00:00"/>
    <n v="1"/>
    <n v="0"/>
    <n v="0"/>
    <n v="1"/>
    <s v=""/>
    <s v=""/>
    <n v="100"/>
    <n v="0"/>
    <n v="100"/>
    <n v="1"/>
    <n v="1"/>
    <s v=""/>
    <s v=""/>
    <n v="1000"/>
    <n v="950"/>
    <n v="50"/>
    <n v="0.0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21:C23" firstHeaderRow="1" firstDataRow="2" firstDataCol="0" rowPageCount="2" colPageCount="1"/>
  <pivotFields count="28">
    <pivotField showAll="0" defaultSubtotal="0"/>
    <pivotField showAll="0" defaultSubtotal="0"/>
    <pivotField showAll="0" defaultSubtotal="0"/>
    <pivotField showAll="0" defaultSubtotal="0"/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numFmtId="14" showAll="0" defaultSubtotal="0"/>
    <pivotField numFmtId="14" showAll="0" defaultSubtotal="0"/>
    <pivotField numFmtId="14" showAll="0"/>
    <pivotField numFmtId="14" showAll="0" defaultSubtotal="0"/>
    <pivotField showAll="0"/>
    <pivotField numFmtId="3" showAll="0" defaultSubtotal="0"/>
    <pivotField dataField="1" numFmtId="164" showAll="0"/>
    <pivotField showAll="0"/>
    <pivotField showAll="0"/>
    <pivotField showAll="0"/>
    <pivotField numFmtId="6" showAll="0"/>
    <pivotField numFmtId="6" showAll="0" defaultSubtotal="0"/>
    <pivotField numFmtId="167" showAll="0"/>
    <pivotField dataField="1" numFmtId="164" showAll="0"/>
    <pivotField showAll="0"/>
    <pivotField showAll="0"/>
    <pivotField showAll="0" defaultSubtotal="0"/>
    <pivotField numFmtId="166" showAll="0" defaultSubtotal="0"/>
    <pivotField numFmtId="166" showAll="0" defaultSubtotal="0"/>
    <pivotField numFmtId="165" showAll="0" defaultSubtotal="0"/>
    <pivotField dataField="1" numFmtId="164"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2">
    <pageField fld="4" hier="-1"/>
    <pageField fld="5" hier="-1"/>
  </pageFields>
  <dataFields count="3">
    <dataField name="Schedule Variance" fld="12" baseField="0" baseItem="0"/>
    <dataField name="Cost Variance" fld="19" baseField="0" baseItem="0"/>
    <dataField name="Resource Variance" fld="26" baseField="0" baseItem="0"/>
  </dataFields>
  <formats count="21">
    <format dxfId="51">
      <pivotArea field="-2" type="button" dataOnly="0" labelOnly="1" outline="0" axis="axisCol" fieldPosition="0"/>
    </format>
    <format dxfId="50">
      <pivotArea type="topRight" dataOnly="0" labelOnly="1" outline="0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grandRow="1" fieldPosition="0"/>
    </format>
    <format dxfId="47">
      <pivotArea field="4" type="button" dataOnly="0" labelOnly="1" outline="0" axis="axisPage" fieldPosition="0"/>
    </format>
    <format dxfId="46">
      <pivotArea dataOnly="0" labelOnly="1" outline="0" fieldPosition="0">
        <references count="1">
          <reference field="4" count="0"/>
        </references>
      </pivotArea>
    </format>
    <format dxfId="45">
      <pivotArea field="5" type="button" dataOnly="0" labelOnly="1" outline="0" axis="axisPage" fieldPosition="1"/>
    </format>
    <format dxfId="44">
      <pivotArea dataOnly="0" labelOnly="1" outline="0" fieldPosition="0">
        <references count="1">
          <reference field="5" count="0"/>
        </references>
      </pivotArea>
    </format>
    <format dxfId="43">
      <pivotArea type="topRight" dataOnly="0" labelOnly="1" outline="0" fieldPosition="0"/>
    </format>
    <format dxfId="42">
      <pivotArea type="origin" dataOnly="0" labelOnly="1" outline="0" fieldPosition="0"/>
    </format>
    <format dxfId="41">
      <pivotArea dataOnly="0" grandRow="1" fieldPosition="0"/>
    </format>
    <format dxfId="40">
      <pivotArea field="4" type="button" dataOnly="0" labelOnly="1" outline="0" axis="axisPage" fieldPosition="0"/>
    </format>
    <format dxfId="39">
      <pivotArea dataOnly="0" labelOnly="1" outline="0" fieldPosition="0">
        <references count="1">
          <reference field="4" count="0"/>
        </references>
      </pivotArea>
    </format>
    <format dxfId="38">
      <pivotArea field="5" type="button" dataOnly="0" labelOnly="1" outline="0" axis="axisPage" fieldPosition="1"/>
    </format>
    <format dxfId="37">
      <pivotArea dataOnly="0" labelOnly="1" outline="0" fieldPosition="0">
        <references count="1">
          <reference field="5" count="0"/>
        </references>
      </pivotArea>
    </format>
    <format dxfId="36">
      <pivotArea type="origin" dataOnly="0" labelOnly="1" outline="0" fieldPosition="0"/>
    </format>
    <format dxfId="35">
      <pivotArea field="-2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4" type="button" dataOnly="0" labelOnly="1" outline="0" axis="axisPage" fieldPosition="0"/>
    </format>
    <format dxfId="31">
      <pivotArea dataOnly="0" labelOnly="1" outline="0" fieldPosition="0">
        <references count="1">
          <reference field="4" count="0"/>
        </references>
      </pivotArea>
    </format>
  </formats>
  <chartFormats count="4">
    <chartFormat chart="0" format="3" series="1">
      <pivotArea type="data" outline="0" fieldPosition="0"/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21:A22" firstHeaderRow="1" firstDataRow="1" firstDataCol="0" rowPageCount="2" colPageCount="1"/>
  <pivotFields count="20">
    <pivotField showAll="0" defaultSubtotal="0"/>
    <pivotField showAll="0" defaultSubtotal="0"/>
    <pivotField showAll="0" defaultSubtotal="0"/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numFmtId="14" showAll="0" defaultSubtotal="0"/>
    <pivotField numFmtId="14" showAll="0" defaultSubtotal="0"/>
    <pivotField numFmtId="14" showAll="0"/>
    <pivotField numFmtId="14" showAll="0" defaultSubtotal="0"/>
    <pivotField showAll="0"/>
    <pivotField numFmtId="3" showAll="0" defaultSubtotal="0"/>
    <pivotField numFmtId="164" showAll="0"/>
    <pivotField showAll="0"/>
    <pivotField showAll="0"/>
    <pivotField showAll="0"/>
    <pivotField numFmtId="6" showAll="0"/>
    <pivotField numFmtId="6" showAll="0" defaultSubtotal="0"/>
    <pivotField dataField="1" numFmtId="167" showAll="0"/>
    <pivotField numFmtId="164" showAll="0"/>
    <pivotField showAll="0"/>
  </pivotFields>
  <rowItems count="1">
    <i/>
  </rowItems>
  <colItems count="1">
    <i/>
  </colItems>
  <pageFields count="2">
    <pageField fld="3" hier="-1"/>
    <pageField fld="4" hier="-1"/>
  </pageFields>
  <dataFields count="1">
    <dataField name="Budget Variance in Dollars" fld="17" baseField="0" baseItem="0"/>
  </dataFields>
  <formats count="18">
    <format dxfId="30">
      <pivotArea type="all" dataOnly="0" outline="0" fieldPosition="0"/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Page" fieldPosition="0"/>
    </format>
    <format dxfId="25">
      <pivotArea dataOnly="0" labelOnly="1" outline="0" fieldPosition="0">
        <references count="1">
          <reference field="3" count="0"/>
        </references>
      </pivotArea>
    </format>
    <format dxfId="24">
      <pivotArea field="4" type="button" dataOnly="0" labelOnly="1" outline="0" axis="axisPage" fieldPosition="1"/>
    </format>
    <format dxfId="23">
      <pivotArea dataOnly="0" labelOnly="1" outline="0" fieldPosition="0">
        <references count="1">
          <reference field="4" count="0"/>
        </references>
      </pivotArea>
    </format>
    <format dxfId="22">
      <pivotArea field="3" type="button" dataOnly="0" labelOnly="1" outline="0" axis="axisPage" fieldPosition="0"/>
    </format>
    <format dxfId="21">
      <pivotArea dataOnly="0" labelOnly="1" outline="0" fieldPosition="0">
        <references count="1">
          <reference field="3" count="0"/>
        </references>
      </pivotArea>
    </format>
    <format dxfId="20">
      <pivotArea field="4" type="button" dataOnly="0" labelOnly="1" outline="0" axis="axisPage" fieldPosition="1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type="origin" dataOnly="0" labelOnly="1" outline="0" fieldPosition="0"/>
    </format>
    <format dxfId="17">
      <pivotArea field="-2" type="button" dataOnly="0" labelOnly="1" outline="0" axis="axisCol" fieldPosition="0"/>
    </format>
    <format dxfId="16">
      <pivotArea type="topRight" dataOnly="0" labelOnly="1" outline="0" fieldPosition="0"/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grandRow="1" outline="0" collapsedLevelsAreSubtotals="1" fieldPosition="0"/>
    </format>
    <format dxfId="13">
      <pivotArea dataOnly="0" labelOnly="1" grandRow="1" outline="0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19" firstHeaderRow="0" firstDataRow="0" firstDataCol="0" rowPageCount="2" colPageCount="1"/>
  <pivotFields count="26">
    <pivotField showAll="0" defaultSubtotal="0"/>
    <pivotField showAll="0" defaultSubtotal="0"/>
    <pivotField showAll="0" defaultSubtotal="0"/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numFmtId="14" showAll="0" defaultSubtotal="0"/>
    <pivotField numFmtId="14" showAll="0" defaultSubtotal="0"/>
    <pivotField numFmtId="14" showAll="0"/>
    <pivotField numFmtId="14" showAll="0" defaultSubtotal="0"/>
    <pivotField showAll="0"/>
    <pivotField numFmtId="3" showAll="0" defaultSubtotal="0"/>
    <pivotField numFmtId="164" showAll="0"/>
    <pivotField showAll="0"/>
    <pivotField showAll="0"/>
    <pivotField showAll="0"/>
    <pivotField numFmtId="6" showAll="0"/>
    <pivotField numFmtId="6" showAll="0" defaultSubtotal="0"/>
    <pivotField numFmtId="167" showAll="0"/>
    <pivotField numFmtId="164" showAll="0"/>
    <pivotField showAll="0"/>
    <pivotField showAll="0"/>
    <pivotField showAll="0" defaultSubtotal="0"/>
    <pivotField numFmtId="166" showAll="0" defaultSubtotal="0"/>
    <pivotField numFmtId="166" showAll="0" defaultSubtotal="0"/>
    <pivotField numFmtId="165" showAll="0" defaultSubtotal="0"/>
    <pivotField numFmtId="164" showAll="0"/>
  </pivotFields>
  <pageFields count="2">
    <pageField fld="3" hier="-1"/>
    <pageField fld="4" hier="-1"/>
  </pageFields>
  <formats count="13">
    <format dxfId="12">
      <pivotArea type="all" dataOnly="0" outline="0" fieldPosition="0"/>
    </format>
    <format dxfId="11">
      <pivotArea dataOnly="0" labelOnly="1" outline="0" axis="axisValues" fieldPosition="0"/>
    </format>
    <format dxfId="10">
      <pivotArea dataOnly="0" outline="0" axis="axisValues" fieldPosition="0"/>
    </format>
    <format dxfId="9">
      <pivotArea dataOnly="0" grandRow="1" axis="axisRow" fieldPosition="0"/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field="3" type="button" dataOnly="0" labelOnly="1" outline="0" axis="axisPage" fieldPosition="0"/>
    </format>
    <format dxfId="5">
      <pivotArea dataOnly="0" labelOnly="1" outline="0" fieldPosition="0">
        <references count="1">
          <reference field="3" count="0"/>
        </references>
      </pivotArea>
    </format>
    <format dxfId="4">
      <pivotArea field="4" type="button" dataOnly="0" labelOnly="1" outline="0" axis="axisPage" fieldPosition="1"/>
    </format>
    <format dxfId="3">
      <pivotArea dataOnly="0" labelOnly="1" outline="0" fieldPosition="0">
        <references count="1">
          <reference field="4" count="0"/>
        </references>
      </pivotArea>
    </format>
    <format dxfId="2">
      <pivotArea dataOnly="0" labelOnly="1" outline="0" axis="axisValues" fieldPosition="0"/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chartFormats count="1">
    <chartFormat chart="0" format="1" series="1">
      <pivotArea type="data" outline="0" fieldPosition="0"/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Work Essentials">
  <a:themeElements>
    <a:clrScheme name="Work Essential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FFAD0A"/>
      </a:hlink>
      <a:folHlink>
        <a:srgbClr val="617F95"/>
      </a:folHlink>
    </a:clrScheme>
    <a:fontScheme name="Work Essential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4" tint="0.39997558519241921"/>
  </sheetPr>
  <dimension ref="A1:Y249"/>
  <sheetViews>
    <sheetView showGridLines="0" tabSelected="1" workbookViewId="0"/>
  </sheetViews>
  <sheetFormatPr defaultRowHeight="15"/>
  <cols>
    <col min="1" max="1" width="17.42578125" style="15" customWidth="1"/>
    <col min="2" max="2" width="28.7109375" style="2" customWidth="1"/>
    <col min="3" max="3" width="19" style="2" customWidth="1"/>
    <col min="4" max="4" width="20.5703125" style="2" customWidth="1"/>
    <col min="5" max="6" width="9.42578125" style="2" customWidth="1"/>
    <col min="7" max="7" width="14.85546875" style="2" customWidth="1"/>
    <col min="8" max="8" width="13.7109375" style="2" customWidth="1"/>
    <col min="9" max="9" width="15.28515625" style="4" customWidth="1"/>
    <col min="10" max="10" width="14.5703125" style="4" customWidth="1"/>
    <col min="11" max="11" width="16.7109375" style="2" customWidth="1"/>
    <col min="12" max="12" width="14.28515625" style="2" customWidth="1"/>
    <col min="13" max="13" width="12.7109375" style="2" customWidth="1"/>
    <col min="14" max="14" width="15.5703125" style="2" customWidth="1"/>
    <col min="15" max="15" width="22.7109375" style="2" customWidth="1"/>
    <col min="16" max="16" width="19.5703125" style="2" customWidth="1"/>
    <col min="17" max="17" width="24.42578125" style="2" customWidth="1"/>
    <col min="18" max="18" width="31.42578125" style="2" customWidth="1"/>
    <col min="19" max="19" width="12.5703125" style="15" customWidth="1"/>
    <col min="20" max="20" width="19.140625" style="2" customWidth="1"/>
    <col min="21" max="21" width="9.42578125" style="2" customWidth="1"/>
    <col min="22" max="22" width="15.85546875" style="2" customWidth="1"/>
    <col min="23" max="23" width="13.140625" style="2" customWidth="1"/>
    <col min="24" max="24" width="19.42578125" style="4" customWidth="1"/>
    <col min="25" max="25" width="28.85546875" style="4" customWidth="1"/>
    <col min="26" max="16384" width="9.140625" style="2"/>
  </cols>
  <sheetData>
    <row r="1" spans="1:25" ht="15" customHeight="1">
      <c r="A1" s="69" t="s">
        <v>88</v>
      </c>
    </row>
    <row r="2" spans="1:25" ht="12.75" customHeight="1">
      <c r="A2" s="70" t="s">
        <v>89</v>
      </c>
      <c r="B2" s="160">
        <f ca="1">TODAY()</f>
        <v>39030</v>
      </c>
    </row>
    <row r="3" spans="1:25" ht="12.75" customHeight="1">
      <c r="A3" s="70" t="s">
        <v>90</v>
      </c>
      <c r="B3" s="71" t="s">
        <v>107</v>
      </c>
    </row>
    <row r="4" spans="1:25" s="1" customFormat="1" ht="42" customHeight="1">
      <c r="A4" s="17" t="s">
        <v>62</v>
      </c>
      <c r="B4" s="5"/>
      <c r="I4" s="3"/>
      <c r="J4" s="3"/>
      <c r="N4" s="3"/>
      <c r="O4" s="11"/>
      <c r="P4" s="7"/>
      <c r="U4" s="11"/>
      <c r="V4" s="7"/>
      <c r="W4" s="9"/>
    </row>
    <row r="5" spans="1:25" s="1" customFormat="1" ht="13.5" customHeight="1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</row>
    <row r="6" spans="1:25" s="1" customFormat="1" ht="18.75" customHeight="1" thickBot="1">
      <c r="A6" s="68"/>
      <c r="B6" s="5"/>
      <c r="I6" s="3"/>
      <c r="J6" s="3"/>
      <c r="N6" s="3"/>
      <c r="O6" s="11"/>
      <c r="P6" s="7"/>
      <c r="U6" s="11"/>
      <c r="V6" s="7"/>
      <c r="W6" s="9"/>
    </row>
    <row r="7" spans="1:25" ht="15.75" customHeight="1">
      <c r="A7" s="31" t="s">
        <v>11</v>
      </c>
      <c r="B7" s="31" t="s">
        <v>13</v>
      </c>
      <c r="C7" s="31" t="s">
        <v>12</v>
      </c>
      <c r="D7" s="31" t="s">
        <v>14</v>
      </c>
      <c r="E7" s="31" t="s">
        <v>22</v>
      </c>
      <c r="F7" s="31" t="s">
        <v>0</v>
      </c>
      <c r="G7" s="31" t="s">
        <v>16</v>
      </c>
      <c r="H7" s="31" t="s">
        <v>23</v>
      </c>
      <c r="I7" s="31" t="s">
        <v>17</v>
      </c>
      <c r="J7" s="31" t="s">
        <v>15</v>
      </c>
      <c r="K7" s="31" t="s">
        <v>24</v>
      </c>
      <c r="L7" s="31" t="s">
        <v>25</v>
      </c>
      <c r="M7" s="31" t="s">
        <v>18</v>
      </c>
      <c r="N7" s="31" t="s">
        <v>28</v>
      </c>
      <c r="O7" s="31" t="s">
        <v>29</v>
      </c>
      <c r="P7" s="31" t="s">
        <v>19</v>
      </c>
      <c r="Q7" s="31" t="s">
        <v>31</v>
      </c>
      <c r="R7" s="31" t="s">
        <v>32</v>
      </c>
      <c r="S7" s="31" t="s">
        <v>26</v>
      </c>
      <c r="T7" s="31" t="s">
        <v>27</v>
      </c>
      <c r="U7" s="31" t="s">
        <v>55</v>
      </c>
      <c r="V7" s="31" t="s">
        <v>30</v>
      </c>
      <c r="W7" s="31" t="s">
        <v>33</v>
      </c>
      <c r="X7" s="31" t="s">
        <v>34</v>
      </c>
      <c r="Y7" s="31" t="s">
        <v>35</v>
      </c>
    </row>
    <row r="8" spans="1:25" s="19" customFormat="1" ht="12.75" customHeight="1">
      <c r="A8" s="22">
        <v>3</v>
      </c>
      <c r="B8" s="30" t="s">
        <v>72</v>
      </c>
      <c r="C8" s="30" t="s">
        <v>21</v>
      </c>
      <c r="D8" s="30" t="s">
        <v>36</v>
      </c>
      <c r="E8" s="20" t="s">
        <v>39</v>
      </c>
      <c r="F8" s="20" t="s">
        <v>37</v>
      </c>
      <c r="G8" s="21">
        <v>38718</v>
      </c>
      <c r="H8" s="21">
        <v>38719</v>
      </c>
      <c r="I8" s="21">
        <v>38777</v>
      </c>
      <c r="J8" s="72">
        <v>1</v>
      </c>
      <c r="K8" s="21">
        <v>38777</v>
      </c>
      <c r="L8" s="21">
        <v>38791</v>
      </c>
      <c r="M8" s="73">
        <v>5100</v>
      </c>
      <c r="N8" s="73">
        <v>5600</v>
      </c>
      <c r="O8" s="73">
        <v>5600</v>
      </c>
      <c r="P8" s="74">
        <v>9000</v>
      </c>
      <c r="Q8" s="74">
        <v>9500</v>
      </c>
      <c r="R8" s="74">
        <v>92</v>
      </c>
      <c r="S8" s="75"/>
      <c r="T8" s="75"/>
      <c r="U8" s="75"/>
      <c r="V8" s="75"/>
      <c r="W8" s="75"/>
      <c r="X8" s="75"/>
      <c r="Y8" s="75"/>
    </row>
    <row r="9" spans="1:25" s="19" customFormat="1" ht="12.75" customHeight="1">
      <c r="A9" s="22">
        <v>3.1</v>
      </c>
      <c r="B9" s="30" t="s">
        <v>38</v>
      </c>
      <c r="C9" s="30" t="s">
        <v>20</v>
      </c>
      <c r="D9" s="30" t="s">
        <v>36</v>
      </c>
      <c r="E9" s="20" t="s">
        <v>37</v>
      </c>
      <c r="F9" s="20" t="s">
        <v>39</v>
      </c>
      <c r="G9" s="21">
        <v>38718</v>
      </c>
      <c r="H9" s="21">
        <v>38727</v>
      </c>
      <c r="I9" s="21">
        <v>38777</v>
      </c>
      <c r="J9" s="72">
        <v>1</v>
      </c>
      <c r="K9" s="21">
        <v>38777</v>
      </c>
      <c r="L9" s="21">
        <v>38791</v>
      </c>
      <c r="M9" s="73">
        <v>3000</v>
      </c>
      <c r="N9" s="73">
        <v>3100</v>
      </c>
      <c r="O9" s="73">
        <v>3100</v>
      </c>
      <c r="P9" s="74">
        <v>4000</v>
      </c>
      <c r="Q9" s="74">
        <v>4200</v>
      </c>
      <c r="R9" s="74">
        <v>42</v>
      </c>
      <c r="S9" s="75"/>
      <c r="T9" s="75"/>
      <c r="U9" s="75"/>
      <c r="V9" s="75"/>
      <c r="W9" s="75"/>
      <c r="X9" s="75"/>
      <c r="Y9" s="75"/>
    </row>
    <row r="10" spans="1:25" s="19" customFormat="1" ht="12.75" customHeight="1">
      <c r="A10" s="22" t="s">
        <v>40</v>
      </c>
      <c r="B10" s="30" t="s">
        <v>41</v>
      </c>
      <c r="C10" s="30" t="s">
        <v>42</v>
      </c>
      <c r="D10" s="30" t="s">
        <v>43</v>
      </c>
      <c r="E10" s="20" t="s">
        <v>39</v>
      </c>
      <c r="F10" s="20" t="s">
        <v>37</v>
      </c>
      <c r="G10" s="21">
        <v>38718</v>
      </c>
      <c r="H10" s="21">
        <v>38719</v>
      </c>
      <c r="I10" s="21">
        <v>38777</v>
      </c>
      <c r="J10" s="72">
        <v>1</v>
      </c>
      <c r="K10" s="21">
        <v>38777</v>
      </c>
      <c r="L10" s="21">
        <v>38778</v>
      </c>
      <c r="M10" s="73">
        <v>2000</v>
      </c>
      <c r="N10" s="73">
        <v>2500</v>
      </c>
      <c r="O10" s="73">
        <v>2500</v>
      </c>
      <c r="P10" s="74">
        <v>4000</v>
      </c>
      <c r="Q10" s="74">
        <v>4300</v>
      </c>
      <c r="R10" s="74">
        <v>40</v>
      </c>
      <c r="S10" s="75"/>
      <c r="T10" s="75"/>
      <c r="U10" s="75"/>
      <c r="V10" s="75"/>
      <c r="W10" s="75"/>
      <c r="X10" s="75"/>
      <c r="Y10" s="75"/>
    </row>
    <row r="11" spans="1:25" s="19" customFormat="1" ht="12.75" customHeight="1">
      <c r="A11" s="22">
        <v>3.2</v>
      </c>
      <c r="B11" s="30" t="s">
        <v>44</v>
      </c>
      <c r="C11" s="30" t="s">
        <v>20</v>
      </c>
      <c r="D11" s="30" t="s">
        <v>36</v>
      </c>
      <c r="E11" s="20" t="s">
        <v>37</v>
      </c>
      <c r="F11" s="20" t="s">
        <v>39</v>
      </c>
      <c r="G11" s="21">
        <v>38749</v>
      </c>
      <c r="H11" s="21">
        <v>38749</v>
      </c>
      <c r="I11" s="21">
        <v>38753</v>
      </c>
      <c r="J11" s="72">
        <v>1</v>
      </c>
      <c r="K11" s="21">
        <v>38753</v>
      </c>
      <c r="L11" s="21">
        <v>38753</v>
      </c>
      <c r="M11" s="73">
        <v>100</v>
      </c>
      <c r="N11" s="73">
        <v>0</v>
      </c>
      <c r="O11" s="73">
        <v>0</v>
      </c>
      <c r="P11" s="74">
        <v>1000</v>
      </c>
      <c r="Q11" s="74">
        <v>950</v>
      </c>
      <c r="R11" s="74">
        <v>10</v>
      </c>
      <c r="S11" s="75"/>
      <c r="T11" s="75"/>
      <c r="U11" s="75"/>
      <c r="V11" s="75"/>
      <c r="W11" s="75"/>
      <c r="X11" s="75"/>
      <c r="Y11" s="75"/>
    </row>
    <row r="12" spans="1:25">
      <c r="A12" s="172"/>
      <c r="B12" s="176"/>
      <c r="C12" s="171"/>
      <c r="D12" s="176"/>
      <c r="E12" s="182"/>
      <c r="F12" s="182"/>
      <c r="G12" s="173"/>
      <c r="H12" s="173"/>
      <c r="I12" s="174"/>
      <c r="J12" s="175"/>
      <c r="K12" s="173"/>
      <c r="L12" s="173"/>
      <c r="M12" s="183"/>
      <c r="N12" s="183"/>
      <c r="O12" s="183"/>
      <c r="P12" s="184"/>
      <c r="Q12" s="184"/>
      <c r="R12" s="184"/>
      <c r="S12" s="185"/>
      <c r="T12" s="185"/>
      <c r="U12" s="185"/>
      <c r="V12" s="185"/>
      <c r="W12" s="185"/>
      <c r="X12" s="186"/>
      <c r="Y12" s="186"/>
    </row>
    <row r="13" spans="1:25">
      <c r="A13" s="172"/>
      <c r="B13" s="176"/>
      <c r="C13" s="171"/>
      <c r="D13" s="176"/>
      <c r="E13" s="182"/>
      <c r="F13" s="182"/>
      <c r="G13" s="173"/>
      <c r="H13" s="173"/>
      <c r="I13" s="174"/>
      <c r="J13" s="175"/>
      <c r="K13" s="173"/>
      <c r="L13" s="173"/>
      <c r="M13" s="183"/>
      <c r="N13" s="183"/>
      <c r="O13" s="183"/>
      <c r="P13" s="184"/>
      <c r="Q13" s="184"/>
      <c r="R13" s="184"/>
      <c r="S13" s="185"/>
      <c r="T13" s="185"/>
      <c r="U13" s="185"/>
      <c r="V13" s="185"/>
      <c r="W13" s="185"/>
      <c r="X13" s="186"/>
      <c r="Y13" s="186"/>
    </row>
    <row r="14" spans="1:25">
      <c r="A14" s="172"/>
      <c r="B14" s="176"/>
      <c r="C14" s="171"/>
      <c r="D14" s="176"/>
      <c r="E14" s="182"/>
      <c r="F14" s="182"/>
      <c r="G14" s="173"/>
      <c r="H14" s="173"/>
      <c r="I14" s="174"/>
      <c r="J14" s="175"/>
      <c r="K14" s="173"/>
      <c r="L14" s="173"/>
      <c r="M14" s="183"/>
      <c r="N14" s="183"/>
      <c r="O14" s="183"/>
      <c r="P14" s="184"/>
      <c r="Q14" s="184"/>
      <c r="R14" s="184"/>
      <c r="S14" s="185"/>
      <c r="T14" s="185"/>
      <c r="U14" s="185"/>
      <c r="V14" s="185"/>
      <c r="W14" s="185"/>
      <c r="X14" s="186"/>
      <c r="Y14" s="186"/>
    </row>
    <row r="15" spans="1:25">
      <c r="A15" s="172"/>
      <c r="B15" s="176"/>
      <c r="C15" s="176"/>
      <c r="D15" s="176"/>
      <c r="E15" s="182"/>
      <c r="F15" s="182"/>
      <c r="G15" s="173"/>
      <c r="H15" s="173"/>
      <c r="I15" s="174"/>
      <c r="J15" s="175"/>
      <c r="K15" s="173"/>
      <c r="L15" s="173"/>
      <c r="M15" s="183"/>
      <c r="N15" s="183"/>
      <c r="O15" s="183"/>
      <c r="P15" s="184"/>
      <c r="Q15" s="184"/>
      <c r="R15" s="184"/>
      <c r="S15" s="185"/>
      <c r="T15" s="185"/>
      <c r="U15" s="185"/>
      <c r="V15" s="185"/>
      <c r="W15" s="185"/>
      <c r="X15" s="186"/>
      <c r="Y15" s="186"/>
    </row>
    <row r="16" spans="1:25">
      <c r="A16" s="172"/>
      <c r="B16" s="176"/>
      <c r="C16" s="176"/>
      <c r="D16" s="176"/>
      <c r="E16" s="182"/>
      <c r="F16" s="182"/>
      <c r="G16" s="173"/>
      <c r="H16" s="173"/>
      <c r="I16" s="174"/>
      <c r="J16" s="175"/>
      <c r="K16" s="173"/>
      <c r="L16" s="173"/>
      <c r="M16" s="183"/>
      <c r="N16" s="183"/>
      <c r="O16" s="183"/>
      <c r="P16" s="184"/>
      <c r="Q16" s="184"/>
      <c r="R16" s="184"/>
      <c r="S16" s="185"/>
      <c r="T16" s="185"/>
      <c r="U16" s="185"/>
      <c r="V16" s="185"/>
      <c r="W16" s="185"/>
      <c r="X16" s="186"/>
      <c r="Y16" s="186"/>
    </row>
    <row r="17" spans="1:25">
      <c r="A17" s="172"/>
      <c r="B17" s="176"/>
      <c r="C17" s="176"/>
      <c r="D17" s="176"/>
      <c r="E17" s="182"/>
      <c r="F17" s="182"/>
      <c r="G17" s="173"/>
      <c r="H17" s="173"/>
      <c r="I17" s="174"/>
      <c r="J17" s="175"/>
      <c r="K17" s="173"/>
      <c r="L17" s="173"/>
      <c r="M17" s="183"/>
      <c r="N17" s="183"/>
      <c r="O17" s="183"/>
      <c r="P17" s="184"/>
      <c r="Q17" s="184"/>
      <c r="R17" s="184"/>
      <c r="S17" s="185"/>
      <c r="T17" s="185"/>
      <c r="U17" s="185"/>
      <c r="V17" s="185"/>
      <c r="W17" s="185"/>
      <c r="X17" s="186"/>
      <c r="Y17" s="186"/>
    </row>
    <row r="18" spans="1:25">
      <c r="A18" s="172"/>
      <c r="B18" s="176"/>
      <c r="C18" s="176"/>
      <c r="D18" s="176"/>
      <c r="E18" s="182"/>
      <c r="F18" s="182"/>
      <c r="G18" s="173"/>
      <c r="H18" s="173"/>
      <c r="I18" s="174"/>
      <c r="J18" s="175"/>
      <c r="K18" s="173"/>
      <c r="L18" s="173"/>
      <c r="M18" s="183"/>
      <c r="N18" s="183"/>
      <c r="O18" s="183"/>
      <c r="P18" s="184"/>
      <c r="Q18" s="184"/>
      <c r="R18" s="184"/>
      <c r="S18" s="185"/>
      <c r="T18" s="185"/>
      <c r="U18" s="185"/>
      <c r="V18" s="185"/>
      <c r="W18" s="185"/>
      <c r="X18" s="186"/>
      <c r="Y18" s="186"/>
    </row>
    <row r="19" spans="1:25">
      <c r="A19" s="172"/>
      <c r="B19" s="176"/>
      <c r="C19" s="176"/>
      <c r="D19" s="176"/>
      <c r="E19" s="182"/>
      <c r="F19" s="182"/>
      <c r="G19" s="173"/>
      <c r="H19" s="173"/>
      <c r="I19" s="174"/>
      <c r="J19" s="175"/>
      <c r="K19" s="173"/>
      <c r="L19" s="173"/>
      <c r="M19" s="183"/>
      <c r="N19" s="183"/>
      <c r="O19" s="183"/>
      <c r="P19" s="184"/>
      <c r="Q19" s="184"/>
      <c r="R19" s="184"/>
      <c r="S19" s="185"/>
      <c r="T19" s="185"/>
      <c r="U19" s="185"/>
      <c r="V19" s="185"/>
      <c r="W19" s="185"/>
      <c r="X19" s="186"/>
      <c r="Y19" s="186"/>
    </row>
    <row r="20" spans="1:25">
      <c r="A20" s="172"/>
      <c r="B20" s="176"/>
      <c r="C20" s="176"/>
      <c r="D20" s="176"/>
      <c r="E20" s="182"/>
      <c r="F20" s="182"/>
      <c r="G20" s="173"/>
      <c r="H20" s="173"/>
      <c r="I20" s="174"/>
      <c r="J20" s="175"/>
      <c r="K20" s="173"/>
      <c r="L20" s="173"/>
      <c r="M20" s="183"/>
      <c r="N20" s="183"/>
      <c r="O20" s="183"/>
      <c r="P20" s="184"/>
      <c r="Q20" s="184"/>
      <c r="R20" s="184"/>
      <c r="S20" s="185"/>
      <c r="T20" s="185"/>
      <c r="U20" s="185"/>
      <c r="V20" s="185"/>
      <c r="W20" s="185"/>
      <c r="X20" s="186"/>
      <c r="Y20" s="186"/>
    </row>
    <row r="21" spans="1:25">
      <c r="A21" s="172"/>
      <c r="B21" s="176"/>
      <c r="C21" s="176"/>
      <c r="D21" s="176"/>
      <c r="E21" s="182"/>
      <c r="F21" s="182"/>
      <c r="G21" s="173"/>
      <c r="H21" s="173"/>
      <c r="I21" s="174"/>
      <c r="J21" s="175"/>
      <c r="K21" s="173"/>
      <c r="L21" s="173"/>
      <c r="M21" s="183"/>
      <c r="N21" s="183"/>
      <c r="O21" s="183"/>
      <c r="P21" s="184"/>
      <c r="Q21" s="184"/>
      <c r="R21" s="184"/>
      <c r="S21" s="185"/>
      <c r="T21" s="185"/>
      <c r="U21" s="185"/>
      <c r="V21" s="185"/>
      <c r="W21" s="185"/>
      <c r="X21" s="186"/>
      <c r="Y21" s="186"/>
    </row>
    <row r="22" spans="1:25">
      <c r="A22" s="172"/>
      <c r="B22" s="176"/>
      <c r="C22" s="176"/>
      <c r="D22" s="176"/>
      <c r="E22" s="182"/>
      <c r="F22" s="182"/>
      <c r="G22" s="173"/>
      <c r="H22" s="173"/>
      <c r="I22" s="174"/>
      <c r="J22" s="175"/>
      <c r="K22" s="173"/>
      <c r="L22" s="173"/>
      <c r="M22" s="183"/>
      <c r="N22" s="183"/>
      <c r="O22" s="183"/>
      <c r="P22" s="184"/>
      <c r="Q22" s="184"/>
      <c r="R22" s="184"/>
      <c r="S22" s="185"/>
      <c r="T22" s="185"/>
      <c r="U22" s="185"/>
      <c r="V22" s="185"/>
      <c r="W22" s="185"/>
      <c r="X22" s="186"/>
      <c r="Y22" s="186"/>
    </row>
    <row r="23" spans="1:25">
      <c r="A23" s="172"/>
      <c r="B23" s="176"/>
      <c r="C23" s="176"/>
      <c r="D23" s="176"/>
      <c r="E23" s="182"/>
      <c r="F23" s="182"/>
      <c r="G23" s="173"/>
      <c r="H23" s="173"/>
      <c r="I23" s="174"/>
      <c r="J23" s="175"/>
      <c r="K23" s="173"/>
      <c r="L23" s="173"/>
      <c r="M23" s="183"/>
      <c r="N23" s="183"/>
      <c r="O23" s="183"/>
      <c r="P23" s="184"/>
      <c r="Q23" s="184"/>
      <c r="R23" s="184"/>
      <c r="S23" s="185"/>
      <c r="T23" s="185"/>
      <c r="U23" s="185"/>
      <c r="V23" s="185"/>
      <c r="W23" s="185"/>
      <c r="X23" s="186"/>
      <c r="Y23" s="186"/>
    </row>
    <row r="24" spans="1:25">
      <c r="A24" s="172"/>
      <c r="B24" s="176"/>
      <c r="C24" s="176"/>
      <c r="D24" s="176"/>
      <c r="E24" s="182"/>
      <c r="F24" s="182"/>
      <c r="G24" s="173"/>
      <c r="H24" s="173"/>
      <c r="I24" s="174"/>
      <c r="J24" s="175"/>
      <c r="K24" s="173"/>
      <c r="L24" s="173"/>
      <c r="M24" s="183"/>
      <c r="N24" s="183"/>
      <c r="O24" s="183"/>
      <c r="P24" s="184"/>
      <c r="Q24" s="184"/>
      <c r="R24" s="184"/>
      <c r="S24" s="185"/>
      <c r="T24" s="185"/>
      <c r="U24" s="185"/>
      <c r="V24" s="185"/>
      <c r="W24" s="185"/>
      <c r="X24" s="186"/>
      <c r="Y24" s="186"/>
    </row>
    <row r="25" spans="1:25">
      <c r="A25" s="180"/>
      <c r="B25" s="180"/>
      <c r="C25" s="180"/>
      <c r="D25" s="180"/>
      <c r="E25" s="180"/>
      <c r="F25" s="180"/>
      <c r="G25" s="177"/>
      <c r="H25" s="177"/>
      <c r="I25" s="178"/>
      <c r="J25" s="181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79"/>
      <c r="Y25" s="179"/>
    </row>
    <row r="26" spans="1:25">
      <c r="A26" s="180"/>
      <c r="B26" s="180"/>
      <c r="C26" s="180"/>
      <c r="D26" s="180"/>
      <c r="E26" s="180"/>
      <c r="F26" s="180"/>
      <c r="G26" s="177"/>
      <c r="H26" s="177"/>
      <c r="I26" s="178"/>
      <c r="J26" s="181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79"/>
      <c r="Y26" s="179"/>
    </row>
    <row r="27" spans="1:25">
      <c r="A27" s="180"/>
      <c r="B27" s="180"/>
      <c r="C27" s="180"/>
      <c r="D27" s="180"/>
      <c r="E27" s="180"/>
      <c r="F27" s="180"/>
      <c r="G27" s="177"/>
      <c r="H27" s="177"/>
      <c r="I27" s="178"/>
      <c r="J27" s="181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79"/>
      <c r="Y27" s="179"/>
    </row>
    <row r="28" spans="1:25">
      <c r="A28" s="180"/>
      <c r="B28" s="180"/>
      <c r="C28" s="180"/>
      <c r="D28" s="180"/>
      <c r="E28" s="180"/>
      <c r="F28" s="180"/>
      <c r="G28" s="177"/>
      <c r="H28" s="177"/>
      <c r="I28" s="178"/>
      <c r="J28" s="181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79"/>
      <c r="Y28" s="179"/>
    </row>
    <row r="29" spans="1:25">
      <c r="A29" s="180"/>
      <c r="B29" s="180"/>
      <c r="C29" s="180"/>
      <c r="D29" s="180"/>
      <c r="E29" s="180"/>
      <c r="F29" s="180"/>
      <c r="G29" s="177"/>
      <c r="H29" s="177"/>
      <c r="I29" s="178"/>
      <c r="J29" s="181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79"/>
      <c r="Y29" s="179"/>
    </row>
    <row r="30" spans="1:25">
      <c r="A30" s="180"/>
      <c r="B30" s="180"/>
      <c r="C30" s="180"/>
      <c r="D30" s="180"/>
      <c r="E30" s="180"/>
      <c r="F30" s="180"/>
      <c r="G30" s="177"/>
      <c r="H30" s="177"/>
      <c r="I30" s="178"/>
      <c r="J30" s="181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79"/>
      <c r="Y30" s="179"/>
    </row>
    <row r="31" spans="1:25">
      <c r="A31" s="180"/>
      <c r="B31" s="180"/>
      <c r="C31" s="180"/>
      <c r="D31" s="180"/>
      <c r="E31" s="180"/>
      <c r="F31" s="180"/>
      <c r="G31" s="177"/>
      <c r="H31" s="177"/>
      <c r="I31" s="178"/>
      <c r="J31" s="181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79"/>
      <c r="Y31" s="179"/>
    </row>
    <row r="32" spans="1:25">
      <c r="A32" s="180"/>
      <c r="B32" s="180"/>
      <c r="C32" s="180"/>
      <c r="D32" s="180"/>
      <c r="E32" s="180"/>
      <c r="F32" s="180"/>
      <c r="G32" s="177"/>
      <c r="H32" s="177"/>
      <c r="I32" s="178"/>
      <c r="J32" s="181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79"/>
      <c r="Y32" s="179"/>
    </row>
    <row r="33" spans="1:25">
      <c r="A33" s="180"/>
      <c r="B33" s="180"/>
      <c r="C33" s="180"/>
      <c r="D33" s="180"/>
      <c r="E33" s="180"/>
      <c r="F33" s="180"/>
      <c r="G33" s="177"/>
      <c r="H33" s="177"/>
      <c r="I33" s="178"/>
      <c r="J33" s="181"/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79"/>
      <c r="Y33" s="179"/>
    </row>
    <row r="34" spans="1:25">
      <c r="A34" s="180"/>
      <c r="B34" s="180"/>
      <c r="C34" s="180"/>
      <c r="D34" s="180"/>
      <c r="E34" s="180"/>
      <c r="F34" s="180"/>
      <c r="G34" s="177"/>
      <c r="H34" s="177"/>
      <c r="I34" s="178"/>
      <c r="J34" s="181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79"/>
      <c r="Y34" s="179"/>
    </row>
    <row r="35" spans="1:25">
      <c r="A35" s="180"/>
      <c r="B35" s="180"/>
      <c r="C35" s="180"/>
      <c r="D35" s="180"/>
      <c r="E35" s="180"/>
      <c r="F35" s="180"/>
      <c r="G35" s="177"/>
      <c r="H35" s="177"/>
      <c r="I35" s="178"/>
      <c r="J35" s="181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79"/>
      <c r="Y35" s="179"/>
    </row>
    <row r="36" spans="1:25">
      <c r="A36" s="180"/>
      <c r="B36" s="180"/>
      <c r="C36" s="180"/>
      <c r="D36" s="180"/>
      <c r="E36" s="180"/>
      <c r="F36" s="180"/>
      <c r="G36" s="177"/>
      <c r="H36" s="177"/>
      <c r="I36" s="178"/>
      <c r="J36" s="181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79"/>
      <c r="Y36" s="179"/>
    </row>
    <row r="37" spans="1:25">
      <c r="A37" s="180"/>
      <c r="B37" s="180"/>
      <c r="C37" s="180"/>
      <c r="D37" s="180"/>
      <c r="E37" s="180"/>
      <c r="F37" s="180"/>
      <c r="G37" s="177"/>
      <c r="H37" s="177"/>
      <c r="I37" s="178"/>
      <c r="J37" s="181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79"/>
      <c r="Y37" s="179"/>
    </row>
    <row r="38" spans="1:25">
      <c r="A38" s="180"/>
      <c r="B38" s="180"/>
      <c r="C38" s="180"/>
      <c r="D38" s="180"/>
      <c r="E38" s="180"/>
      <c r="F38" s="180"/>
      <c r="G38" s="177"/>
      <c r="H38" s="177"/>
      <c r="I38" s="178"/>
      <c r="J38" s="181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79"/>
      <c r="Y38" s="179"/>
    </row>
    <row r="39" spans="1:25">
      <c r="A39" s="180"/>
      <c r="B39" s="180"/>
      <c r="C39" s="180"/>
      <c r="D39" s="180"/>
      <c r="E39" s="180"/>
      <c r="F39" s="180"/>
      <c r="G39" s="177"/>
      <c r="H39" s="177"/>
      <c r="I39" s="178"/>
      <c r="J39" s="181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79"/>
      <c r="Y39" s="179"/>
    </row>
    <row r="40" spans="1:25">
      <c r="A40" s="180"/>
      <c r="B40" s="180"/>
      <c r="C40" s="180"/>
      <c r="D40" s="180"/>
      <c r="E40" s="180"/>
      <c r="F40" s="180"/>
      <c r="G40" s="177"/>
      <c r="H40" s="177"/>
      <c r="I40" s="178"/>
      <c r="J40" s="181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79"/>
      <c r="Y40" s="179"/>
    </row>
    <row r="41" spans="1:25">
      <c r="A41" s="180"/>
      <c r="B41" s="180"/>
      <c r="C41" s="180"/>
      <c r="D41" s="180"/>
      <c r="E41" s="180"/>
      <c r="F41" s="180"/>
      <c r="G41" s="177"/>
      <c r="H41" s="177"/>
      <c r="I41" s="178"/>
      <c r="J41" s="181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80"/>
      <c r="W41" s="180"/>
      <c r="X41" s="179"/>
      <c r="Y41" s="179"/>
    </row>
    <row r="42" spans="1:25">
      <c r="A42" s="180"/>
      <c r="B42" s="180"/>
      <c r="C42" s="180"/>
      <c r="D42" s="180"/>
      <c r="E42" s="180"/>
      <c r="F42" s="180"/>
      <c r="G42" s="177"/>
      <c r="H42" s="177"/>
      <c r="I42" s="178"/>
      <c r="J42" s="181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79"/>
      <c r="Y42" s="179"/>
    </row>
    <row r="43" spans="1:25">
      <c r="A43" s="180"/>
      <c r="B43" s="180"/>
      <c r="C43" s="180"/>
      <c r="D43" s="180"/>
      <c r="E43" s="180"/>
      <c r="F43" s="180"/>
      <c r="G43" s="177"/>
      <c r="H43" s="177"/>
      <c r="I43" s="178"/>
      <c r="J43" s="181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79"/>
      <c r="Y43" s="179"/>
    </row>
    <row r="44" spans="1:25">
      <c r="A44" s="180"/>
      <c r="B44" s="180"/>
      <c r="C44" s="180"/>
      <c r="D44" s="180"/>
      <c r="E44" s="180"/>
      <c r="F44" s="180"/>
      <c r="G44" s="177"/>
      <c r="H44" s="177"/>
      <c r="I44" s="178"/>
      <c r="J44" s="181"/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79"/>
      <c r="Y44" s="179"/>
    </row>
    <row r="45" spans="1:25">
      <c r="A45" s="180"/>
      <c r="B45" s="180"/>
      <c r="C45" s="180"/>
      <c r="D45" s="180"/>
      <c r="E45" s="180"/>
      <c r="F45" s="180"/>
      <c r="G45" s="177"/>
      <c r="H45" s="177"/>
      <c r="I45" s="178"/>
      <c r="J45" s="181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79"/>
      <c r="Y45" s="179"/>
    </row>
    <row r="46" spans="1:25">
      <c r="A46" s="180"/>
      <c r="B46" s="180"/>
      <c r="C46" s="180"/>
      <c r="D46" s="180"/>
      <c r="E46" s="180"/>
      <c r="F46" s="180"/>
      <c r="G46" s="177"/>
      <c r="H46" s="177"/>
      <c r="I46" s="178"/>
      <c r="J46" s="181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79"/>
      <c r="Y46" s="179"/>
    </row>
    <row r="47" spans="1:25">
      <c r="A47" s="180"/>
      <c r="B47" s="180"/>
      <c r="C47" s="180"/>
      <c r="D47" s="180"/>
      <c r="E47" s="180"/>
      <c r="F47" s="180"/>
      <c r="G47" s="177"/>
      <c r="H47" s="177"/>
      <c r="I47" s="178"/>
      <c r="J47" s="181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79"/>
      <c r="Y47" s="179"/>
    </row>
    <row r="48" spans="1:25">
      <c r="A48" s="180"/>
      <c r="B48" s="180"/>
      <c r="C48" s="180"/>
      <c r="D48" s="180"/>
      <c r="E48" s="180"/>
      <c r="F48" s="180"/>
      <c r="G48" s="177"/>
      <c r="H48" s="177"/>
      <c r="I48" s="178"/>
      <c r="J48" s="181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79"/>
      <c r="Y48" s="179"/>
    </row>
    <row r="49" spans="1:25">
      <c r="A49" s="180"/>
      <c r="B49" s="180"/>
      <c r="C49" s="180"/>
      <c r="D49" s="180"/>
      <c r="E49" s="180"/>
      <c r="F49" s="180"/>
      <c r="G49" s="177"/>
      <c r="H49" s="177"/>
      <c r="I49" s="178"/>
      <c r="J49" s="181"/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79"/>
      <c r="Y49" s="179"/>
    </row>
    <row r="50" spans="1:25">
      <c r="A50" s="180"/>
      <c r="B50" s="180"/>
      <c r="C50" s="180"/>
      <c r="D50" s="180"/>
      <c r="E50" s="180"/>
      <c r="F50" s="180"/>
      <c r="G50" s="177"/>
      <c r="H50" s="177"/>
      <c r="I50" s="178"/>
      <c r="J50" s="181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79"/>
      <c r="Y50" s="179"/>
    </row>
    <row r="51" spans="1:25">
      <c r="A51" s="180"/>
      <c r="B51" s="180"/>
      <c r="C51" s="180"/>
      <c r="D51" s="180"/>
      <c r="E51" s="180"/>
      <c r="F51" s="180"/>
      <c r="G51" s="177"/>
      <c r="H51" s="177"/>
      <c r="I51" s="178"/>
      <c r="J51" s="181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79"/>
      <c r="Y51" s="179"/>
    </row>
    <row r="52" spans="1:25">
      <c r="A52" s="180"/>
      <c r="B52" s="180"/>
      <c r="C52" s="180"/>
      <c r="D52" s="180"/>
      <c r="E52" s="180"/>
      <c r="F52" s="180"/>
      <c r="G52" s="177"/>
      <c r="H52" s="177"/>
      <c r="I52" s="178"/>
      <c r="J52" s="181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79"/>
      <c r="Y52" s="179"/>
    </row>
    <row r="53" spans="1:25">
      <c r="A53" s="180"/>
      <c r="B53" s="180"/>
      <c r="C53" s="180"/>
      <c r="D53" s="180"/>
      <c r="E53" s="180"/>
      <c r="F53" s="180"/>
      <c r="G53" s="177"/>
      <c r="H53" s="177"/>
      <c r="I53" s="178"/>
      <c r="J53" s="181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79"/>
      <c r="Y53" s="179"/>
    </row>
    <row r="54" spans="1:25">
      <c r="A54" s="180"/>
      <c r="B54" s="180"/>
      <c r="C54" s="180"/>
      <c r="D54" s="180"/>
      <c r="E54" s="180"/>
      <c r="F54" s="180"/>
      <c r="G54" s="177"/>
      <c r="H54" s="177"/>
      <c r="I54" s="178"/>
      <c r="J54" s="181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79"/>
      <c r="Y54" s="179"/>
    </row>
    <row r="55" spans="1:25">
      <c r="A55" s="180"/>
      <c r="B55" s="180"/>
      <c r="C55" s="180"/>
      <c r="D55" s="180"/>
      <c r="E55" s="180"/>
      <c r="F55" s="180"/>
      <c r="G55" s="177"/>
      <c r="H55" s="177"/>
      <c r="I55" s="178"/>
      <c r="J55" s="181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79"/>
      <c r="Y55" s="179"/>
    </row>
    <row r="56" spans="1:25">
      <c r="A56" s="180"/>
      <c r="B56" s="180"/>
      <c r="C56" s="180"/>
      <c r="D56" s="180"/>
      <c r="E56" s="180"/>
      <c r="F56" s="180"/>
      <c r="G56" s="177"/>
      <c r="H56" s="177"/>
      <c r="I56" s="178"/>
      <c r="J56" s="181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79"/>
      <c r="Y56" s="179"/>
    </row>
    <row r="57" spans="1:25">
      <c r="A57" s="180"/>
      <c r="B57" s="180"/>
      <c r="C57" s="180"/>
      <c r="D57" s="180"/>
      <c r="E57" s="180"/>
      <c r="F57" s="180"/>
      <c r="G57" s="177"/>
      <c r="H57" s="177"/>
      <c r="I57" s="178"/>
      <c r="J57" s="181"/>
      <c r="K57" s="180"/>
      <c r="L57" s="180"/>
      <c r="M57" s="180"/>
      <c r="N57" s="180"/>
      <c r="O57" s="180"/>
      <c r="P57" s="180"/>
      <c r="Q57" s="180"/>
      <c r="R57" s="180"/>
      <c r="S57" s="180"/>
      <c r="T57" s="180"/>
      <c r="U57" s="180"/>
      <c r="V57" s="180"/>
      <c r="W57" s="180"/>
      <c r="X57" s="179"/>
      <c r="Y57" s="179"/>
    </row>
    <row r="58" spans="1:25">
      <c r="A58" s="180"/>
      <c r="B58" s="180"/>
      <c r="C58" s="180"/>
      <c r="D58" s="180"/>
      <c r="E58" s="180"/>
      <c r="F58" s="180"/>
      <c r="G58" s="177"/>
      <c r="H58" s="177"/>
      <c r="I58" s="178"/>
      <c r="J58" s="181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79"/>
      <c r="Y58" s="179"/>
    </row>
    <row r="59" spans="1:25">
      <c r="A59" s="180"/>
      <c r="B59" s="180"/>
      <c r="C59" s="180"/>
      <c r="D59" s="180"/>
      <c r="E59" s="180"/>
      <c r="F59" s="180"/>
      <c r="G59" s="177"/>
      <c r="H59" s="177"/>
      <c r="I59" s="178"/>
      <c r="J59" s="181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79"/>
      <c r="Y59" s="179"/>
    </row>
    <row r="60" spans="1:25">
      <c r="A60" s="180"/>
      <c r="B60" s="180"/>
      <c r="C60" s="180"/>
      <c r="D60" s="180"/>
      <c r="E60" s="180"/>
      <c r="F60" s="180"/>
      <c r="G60" s="177"/>
      <c r="H60" s="177"/>
      <c r="I60" s="178"/>
      <c r="J60" s="181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80"/>
      <c r="W60" s="180"/>
      <c r="X60" s="179"/>
      <c r="Y60" s="179"/>
    </row>
    <row r="61" spans="1:25">
      <c r="A61" s="180"/>
      <c r="B61" s="180"/>
      <c r="C61" s="180"/>
      <c r="D61" s="180"/>
      <c r="E61" s="180"/>
      <c r="F61" s="180"/>
      <c r="G61" s="177"/>
      <c r="H61" s="177"/>
      <c r="I61" s="178"/>
      <c r="J61" s="181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79"/>
      <c r="Y61" s="179"/>
    </row>
    <row r="62" spans="1:25">
      <c r="A62" s="180"/>
      <c r="B62" s="180"/>
      <c r="C62" s="180"/>
      <c r="D62" s="180"/>
      <c r="E62" s="180"/>
      <c r="F62" s="180"/>
      <c r="G62" s="177"/>
      <c r="H62" s="177"/>
      <c r="I62" s="178"/>
      <c r="J62" s="181"/>
      <c r="K62" s="180"/>
      <c r="L62" s="180"/>
      <c r="M62" s="180"/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79"/>
      <c r="Y62" s="179"/>
    </row>
    <row r="63" spans="1:25">
      <c r="A63" s="180"/>
      <c r="B63" s="180"/>
      <c r="C63" s="180"/>
      <c r="D63" s="180"/>
      <c r="E63" s="180"/>
      <c r="F63" s="180"/>
      <c r="G63" s="177"/>
      <c r="H63" s="177"/>
      <c r="I63" s="178"/>
      <c r="J63" s="181"/>
      <c r="K63" s="180"/>
      <c r="L63" s="180"/>
      <c r="M63" s="180"/>
      <c r="N63" s="180"/>
      <c r="O63" s="180"/>
      <c r="P63" s="180"/>
      <c r="Q63" s="180"/>
      <c r="R63" s="180"/>
      <c r="S63" s="180"/>
      <c r="T63" s="180"/>
      <c r="U63" s="180"/>
      <c r="V63" s="180"/>
      <c r="W63" s="180"/>
      <c r="X63" s="179"/>
      <c r="Y63" s="179"/>
    </row>
    <row r="64" spans="1:25">
      <c r="A64" s="180"/>
      <c r="B64" s="180"/>
      <c r="C64" s="180"/>
      <c r="D64" s="180"/>
      <c r="E64" s="180"/>
      <c r="F64" s="180"/>
      <c r="G64" s="177"/>
      <c r="H64" s="177"/>
      <c r="I64" s="178"/>
      <c r="J64" s="181"/>
      <c r="K64" s="180"/>
      <c r="L64" s="180"/>
      <c r="M64" s="180"/>
      <c r="N64" s="180"/>
      <c r="O64" s="180"/>
      <c r="P64" s="180"/>
      <c r="Q64" s="180"/>
      <c r="R64" s="180"/>
      <c r="S64" s="180"/>
      <c r="T64" s="180"/>
      <c r="U64" s="180"/>
      <c r="V64" s="180"/>
      <c r="W64" s="180"/>
      <c r="X64" s="179"/>
      <c r="Y64" s="179"/>
    </row>
    <row r="65" spans="1:25">
      <c r="A65" s="180"/>
      <c r="B65" s="180"/>
      <c r="C65" s="180"/>
      <c r="D65" s="180"/>
      <c r="E65" s="180"/>
      <c r="F65" s="180"/>
      <c r="G65" s="177"/>
      <c r="H65" s="177"/>
      <c r="I65" s="178"/>
      <c r="J65" s="181"/>
      <c r="K65" s="180"/>
      <c r="L65" s="180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79"/>
      <c r="Y65" s="179"/>
    </row>
    <row r="66" spans="1:25">
      <c r="A66" s="180"/>
      <c r="B66" s="180"/>
      <c r="C66" s="180"/>
      <c r="D66" s="180"/>
      <c r="E66" s="180"/>
      <c r="F66" s="180"/>
      <c r="G66" s="177"/>
      <c r="H66" s="177"/>
      <c r="I66" s="178"/>
      <c r="J66" s="181"/>
      <c r="K66" s="180"/>
      <c r="L66" s="180"/>
      <c r="M66" s="180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79"/>
      <c r="Y66" s="179"/>
    </row>
    <row r="67" spans="1:25">
      <c r="A67" s="180"/>
      <c r="B67" s="180"/>
      <c r="C67" s="180"/>
      <c r="D67" s="180"/>
      <c r="E67" s="180"/>
      <c r="F67" s="180"/>
      <c r="G67" s="177"/>
      <c r="H67" s="177"/>
      <c r="I67" s="178"/>
      <c r="J67" s="181"/>
      <c r="K67" s="180"/>
      <c r="L67" s="180"/>
      <c r="M67" s="180"/>
      <c r="N67" s="180"/>
      <c r="O67" s="180"/>
      <c r="P67" s="180"/>
      <c r="Q67" s="180"/>
      <c r="R67" s="180"/>
      <c r="S67" s="180"/>
      <c r="T67" s="180"/>
      <c r="U67" s="180"/>
      <c r="V67" s="180"/>
      <c r="W67" s="180"/>
      <c r="X67" s="179"/>
      <c r="Y67" s="179"/>
    </row>
    <row r="68" spans="1:25">
      <c r="A68" s="180"/>
      <c r="B68" s="180"/>
      <c r="C68" s="180"/>
      <c r="D68" s="180"/>
      <c r="E68" s="180"/>
      <c r="F68" s="180"/>
      <c r="G68" s="177"/>
      <c r="H68" s="177"/>
      <c r="I68" s="178"/>
      <c r="J68" s="181"/>
      <c r="K68" s="180"/>
      <c r="L68" s="180"/>
      <c r="M68" s="180"/>
      <c r="N68" s="180"/>
      <c r="O68" s="180"/>
      <c r="P68" s="180"/>
      <c r="Q68" s="180"/>
      <c r="R68" s="180"/>
      <c r="S68" s="180"/>
      <c r="T68" s="180"/>
      <c r="U68" s="180"/>
      <c r="V68" s="180"/>
      <c r="W68" s="180"/>
      <c r="X68" s="179"/>
      <c r="Y68" s="179"/>
    </row>
    <row r="69" spans="1:25">
      <c r="A69" s="180"/>
      <c r="B69" s="180"/>
      <c r="C69" s="180"/>
      <c r="D69" s="180"/>
      <c r="E69" s="180"/>
      <c r="F69" s="180"/>
      <c r="G69" s="177"/>
      <c r="H69" s="177"/>
      <c r="I69" s="178"/>
      <c r="J69" s="181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79"/>
      <c r="Y69" s="179"/>
    </row>
    <row r="70" spans="1:25">
      <c r="A70" s="180"/>
      <c r="B70" s="180"/>
      <c r="C70" s="180"/>
      <c r="D70" s="180"/>
      <c r="E70" s="180"/>
      <c r="F70" s="180"/>
      <c r="G70" s="177"/>
      <c r="H70" s="177"/>
      <c r="I70" s="178"/>
      <c r="J70" s="181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79"/>
      <c r="Y70" s="179"/>
    </row>
    <row r="71" spans="1:25">
      <c r="A71" s="180"/>
      <c r="B71" s="180"/>
      <c r="C71" s="180"/>
      <c r="D71" s="180"/>
      <c r="E71" s="180"/>
      <c r="F71" s="180"/>
      <c r="G71" s="177"/>
      <c r="H71" s="177"/>
      <c r="I71" s="178"/>
      <c r="J71" s="181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79"/>
      <c r="Y71" s="179"/>
    </row>
    <row r="72" spans="1:25">
      <c r="A72" s="180"/>
      <c r="B72" s="180"/>
      <c r="C72" s="180"/>
      <c r="D72" s="180"/>
      <c r="E72" s="180"/>
      <c r="F72" s="180"/>
      <c r="G72" s="177"/>
      <c r="H72" s="177"/>
      <c r="I72" s="178"/>
      <c r="J72" s="181"/>
      <c r="K72" s="180"/>
      <c r="L72" s="180"/>
      <c r="M72" s="180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79"/>
      <c r="Y72" s="179"/>
    </row>
    <row r="73" spans="1:25">
      <c r="A73" s="180"/>
      <c r="B73" s="180"/>
      <c r="C73" s="180"/>
      <c r="D73" s="180"/>
      <c r="E73" s="180"/>
      <c r="F73" s="180"/>
      <c r="G73" s="177"/>
      <c r="H73" s="177"/>
      <c r="I73" s="178"/>
      <c r="J73" s="181"/>
      <c r="K73" s="180"/>
      <c r="L73" s="180"/>
      <c r="M73" s="180"/>
      <c r="N73" s="180"/>
      <c r="O73" s="180"/>
      <c r="P73" s="180"/>
      <c r="Q73" s="180"/>
      <c r="R73" s="180"/>
      <c r="S73" s="180"/>
      <c r="T73" s="180"/>
      <c r="U73" s="180"/>
      <c r="V73" s="180"/>
      <c r="W73" s="180"/>
      <c r="X73" s="179"/>
      <c r="Y73" s="179"/>
    </row>
    <row r="74" spans="1:25">
      <c r="A74" s="180"/>
      <c r="B74" s="180"/>
      <c r="C74" s="180"/>
      <c r="D74" s="180"/>
      <c r="E74" s="180"/>
      <c r="F74" s="180"/>
      <c r="G74" s="177"/>
      <c r="H74" s="177"/>
      <c r="I74" s="178"/>
      <c r="J74" s="181"/>
      <c r="K74" s="180"/>
      <c r="L74" s="180"/>
      <c r="M74" s="180"/>
      <c r="N74" s="180"/>
      <c r="O74" s="180"/>
      <c r="P74" s="180"/>
      <c r="Q74" s="180"/>
      <c r="R74" s="180"/>
      <c r="S74" s="180"/>
      <c r="T74" s="180"/>
      <c r="U74" s="180"/>
      <c r="V74" s="180"/>
      <c r="W74" s="180"/>
      <c r="X74" s="179"/>
      <c r="Y74" s="179"/>
    </row>
    <row r="75" spans="1:25">
      <c r="A75" s="180"/>
      <c r="B75" s="180"/>
      <c r="C75" s="180"/>
      <c r="D75" s="180"/>
      <c r="E75" s="180"/>
      <c r="F75" s="180"/>
      <c r="G75" s="177"/>
      <c r="H75" s="177"/>
      <c r="I75" s="178"/>
      <c r="J75" s="181"/>
      <c r="K75" s="180"/>
      <c r="L75" s="180"/>
      <c r="M75" s="180"/>
      <c r="N75" s="180"/>
      <c r="O75" s="180"/>
      <c r="P75" s="180"/>
      <c r="Q75" s="180"/>
      <c r="R75" s="180"/>
      <c r="S75" s="180"/>
      <c r="T75" s="180"/>
      <c r="U75" s="180"/>
      <c r="V75" s="180"/>
      <c r="W75" s="180"/>
      <c r="X75" s="179"/>
      <c r="Y75" s="179"/>
    </row>
    <row r="76" spans="1:25">
      <c r="A76" s="180"/>
      <c r="B76" s="180"/>
      <c r="C76" s="180"/>
      <c r="D76" s="180"/>
      <c r="E76" s="180"/>
      <c r="F76" s="180"/>
      <c r="G76" s="177"/>
      <c r="H76" s="177"/>
      <c r="I76" s="178"/>
      <c r="J76" s="181"/>
      <c r="K76" s="180"/>
      <c r="L76" s="180"/>
      <c r="M76" s="180"/>
      <c r="N76" s="180"/>
      <c r="O76" s="180"/>
      <c r="P76" s="180"/>
      <c r="Q76" s="180"/>
      <c r="R76" s="180"/>
      <c r="S76" s="180"/>
      <c r="T76" s="180"/>
      <c r="U76" s="180"/>
      <c r="V76" s="180"/>
      <c r="W76" s="180"/>
      <c r="X76" s="179"/>
      <c r="Y76" s="179"/>
    </row>
    <row r="77" spans="1:25">
      <c r="A77" s="180"/>
      <c r="B77" s="180"/>
      <c r="C77" s="180"/>
      <c r="D77" s="180"/>
      <c r="E77" s="180"/>
      <c r="F77" s="180"/>
      <c r="G77" s="177"/>
      <c r="H77" s="177"/>
      <c r="I77" s="178"/>
      <c r="J77" s="181"/>
      <c r="K77" s="180"/>
      <c r="L77" s="180"/>
      <c r="M77" s="180"/>
      <c r="N77" s="180"/>
      <c r="O77" s="180"/>
      <c r="P77" s="180"/>
      <c r="Q77" s="180"/>
      <c r="R77" s="180"/>
      <c r="S77" s="180"/>
      <c r="T77" s="180"/>
      <c r="U77" s="180"/>
      <c r="V77" s="180"/>
      <c r="W77" s="180"/>
      <c r="X77" s="179"/>
      <c r="Y77" s="179"/>
    </row>
    <row r="78" spans="1:25">
      <c r="A78" s="180"/>
      <c r="B78" s="180"/>
      <c r="C78" s="180"/>
      <c r="D78" s="180"/>
      <c r="E78" s="180"/>
      <c r="F78" s="180"/>
      <c r="G78" s="177"/>
      <c r="H78" s="177"/>
      <c r="I78" s="178"/>
      <c r="J78" s="181"/>
      <c r="K78" s="180"/>
      <c r="L78" s="180"/>
      <c r="M78" s="180"/>
      <c r="N78" s="180"/>
      <c r="O78" s="180"/>
      <c r="P78" s="180"/>
      <c r="Q78" s="180"/>
      <c r="R78" s="180"/>
      <c r="S78" s="180"/>
      <c r="T78" s="180"/>
      <c r="U78" s="180"/>
      <c r="V78" s="180"/>
      <c r="W78" s="180"/>
      <c r="X78" s="179"/>
      <c r="Y78" s="179"/>
    </row>
    <row r="79" spans="1:25">
      <c r="A79" s="180"/>
      <c r="B79" s="180"/>
      <c r="C79" s="180"/>
      <c r="D79" s="180"/>
      <c r="E79" s="180"/>
      <c r="F79" s="180"/>
      <c r="G79" s="177"/>
      <c r="H79" s="177"/>
      <c r="I79" s="178"/>
      <c r="J79" s="181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79"/>
      <c r="Y79" s="179"/>
    </row>
    <row r="80" spans="1:25">
      <c r="A80" s="180"/>
      <c r="B80" s="180"/>
      <c r="C80" s="180"/>
      <c r="D80" s="180"/>
      <c r="E80" s="180"/>
      <c r="F80" s="180"/>
      <c r="G80" s="177"/>
      <c r="H80" s="177"/>
      <c r="I80" s="178"/>
      <c r="J80" s="181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79"/>
      <c r="Y80" s="179"/>
    </row>
    <row r="81" spans="1:25">
      <c r="A81" s="180"/>
      <c r="B81" s="180"/>
      <c r="C81" s="180"/>
      <c r="D81" s="180"/>
      <c r="E81" s="180"/>
      <c r="F81" s="180"/>
      <c r="G81" s="177"/>
      <c r="H81" s="177"/>
      <c r="I81" s="178"/>
      <c r="J81" s="181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79"/>
      <c r="Y81" s="179"/>
    </row>
    <row r="82" spans="1:25">
      <c r="A82" s="180"/>
      <c r="B82" s="180"/>
      <c r="C82" s="180"/>
      <c r="D82" s="180"/>
      <c r="E82" s="180"/>
      <c r="F82" s="180"/>
      <c r="G82" s="177"/>
      <c r="H82" s="177"/>
      <c r="I82" s="178"/>
      <c r="J82" s="181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/>
      <c r="V82" s="180"/>
      <c r="W82" s="180"/>
      <c r="X82" s="179"/>
      <c r="Y82" s="179"/>
    </row>
    <row r="83" spans="1:25">
      <c r="A83" s="180"/>
      <c r="B83" s="180"/>
      <c r="C83" s="180"/>
      <c r="D83" s="180"/>
      <c r="E83" s="180"/>
      <c r="F83" s="180"/>
      <c r="G83" s="177"/>
      <c r="H83" s="177"/>
      <c r="I83" s="178"/>
      <c r="J83" s="181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79"/>
      <c r="Y83" s="179"/>
    </row>
    <row r="84" spans="1:25">
      <c r="A84" s="180"/>
      <c r="B84" s="180"/>
      <c r="C84" s="180"/>
      <c r="D84" s="180"/>
      <c r="E84" s="180"/>
      <c r="F84" s="180"/>
      <c r="G84" s="177"/>
      <c r="H84" s="177"/>
      <c r="I84" s="178"/>
      <c r="J84" s="181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/>
      <c r="V84" s="180"/>
      <c r="W84" s="180"/>
      <c r="X84" s="179"/>
      <c r="Y84" s="179"/>
    </row>
    <row r="85" spans="1:25">
      <c r="A85" s="180"/>
      <c r="B85" s="180"/>
      <c r="C85" s="180"/>
      <c r="D85" s="180"/>
      <c r="E85" s="180"/>
      <c r="F85" s="180"/>
      <c r="G85" s="177"/>
      <c r="H85" s="177"/>
      <c r="I85" s="178"/>
      <c r="J85" s="181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79"/>
      <c r="Y85" s="179"/>
    </row>
    <row r="86" spans="1:25">
      <c r="A86" s="180"/>
      <c r="B86" s="180"/>
      <c r="C86" s="180"/>
      <c r="D86" s="180"/>
      <c r="E86" s="180"/>
      <c r="F86" s="180"/>
      <c r="G86" s="177"/>
      <c r="H86" s="177"/>
      <c r="I86" s="178"/>
      <c r="J86" s="181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79"/>
      <c r="Y86" s="179"/>
    </row>
    <row r="87" spans="1:25">
      <c r="A87" s="180"/>
      <c r="B87" s="180"/>
      <c r="C87" s="180"/>
      <c r="D87" s="180"/>
      <c r="E87" s="180"/>
      <c r="F87" s="180"/>
      <c r="G87" s="177"/>
      <c r="H87" s="177"/>
      <c r="I87" s="178"/>
      <c r="J87" s="181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79"/>
      <c r="Y87" s="179"/>
    </row>
    <row r="88" spans="1:25">
      <c r="A88" s="180"/>
      <c r="B88" s="180"/>
      <c r="C88" s="180"/>
      <c r="D88" s="180"/>
      <c r="E88" s="180"/>
      <c r="F88" s="180"/>
      <c r="G88" s="177"/>
      <c r="H88" s="177"/>
      <c r="I88" s="178"/>
      <c r="J88" s="181"/>
      <c r="K88" s="180"/>
      <c r="L88" s="180"/>
      <c r="M88" s="180"/>
      <c r="N88" s="180"/>
      <c r="O88" s="180"/>
      <c r="P88" s="180"/>
      <c r="Q88" s="180"/>
      <c r="R88" s="180"/>
      <c r="S88" s="180"/>
      <c r="T88" s="180"/>
      <c r="U88" s="180"/>
      <c r="V88" s="180"/>
      <c r="W88" s="180"/>
      <c r="X88" s="179"/>
      <c r="Y88" s="179"/>
    </row>
    <row r="89" spans="1:25">
      <c r="A89" s="180"/>
      <c r="B89" s="180"/>
      <c r="C89" s="180"/>
      <c r="D89" s="180"/>
      <c r="E89" s="180"/>
      <c r="F89" s="180"/>
      <c r="G89" s="177"/>
      <c r="H89" s="177"/>
      <c r="I89" s="178"/>
      <c r="J89" s="181"/>
      <c r="K89" s="180"/>
      <c r="L89" s="180"/>
      <c r="M89" s="180"/>
      <c r="N89" s="180"/>
      <c r="O89" s="180"/>
      <c r="P89" s="180"/>
      <c r="Q89" s="180"/>
      <c r="R89" s="180"/>
      <c r="S89" s="180"/>
      <c r="T89" s="180"/>
      <c r="U89" s="180"/>
      <c r="V89" s="180"/>
      <c r="W89" s="180"/>
      <c r="X89" s="179"/>
      <c r="Y89" s="179"/>
    </row>
    <row r="90" spans="1:25">
      <c r="A90" s="180"/>
      <c r="B90" s="180"/>
      <c r="C90" s="180"/>
      <c r="D90" s="180"/>
      <c r="E90" s="180"/>
      <c r="F90" s="180"/>
      <c r="G90" s="177"/>
      <c r="H90" s="177"/>
      <c r="I90" s="178"/>
      <c r="J90" s="181"/>
      <c r="K90" s="180"/>
      <c r="L90" s="180"/>
      <c r="M90" s="180"/>
      <c r="N90" s="180"/>
      <c r="O90" s="180"/>
      <c r="P90" s="180"/>
      <c r="Q90" s="180"/>
      <c r="R90" s="180"/>
      <c r="S90" s="180"/>
      <c r="T90" s="180"/>
      <c r="U90" s="180"/>
      <c r="V90" s="180"/>
      <c r="W90" s="180"/>
      <c r="X90" s="179"/>
      <c r="Y90" s="179"/>
    </row>
    <row r="91" spans="1:25">
      <c r="A91" s="180"/>
      <c r="B91" s="180"/>
      <c r="C91" s="180"/>
      <c r="D91" s="180"/>
      <c r="E91" s="180"/>
      <c r="F91" s="180"/>
      <c r="G91" s="177"/>
      <c r="H91" s="177"/>
      <c r="I91" s="178"/>
      <c r="J91" s="181"/>
      <c r="K91" s="180"/>
      <c r="L91" s="180"/>
      <c r="M91" s="180"/>
      <c r="N91" s="180"/>
      <c r="O91" s="180"/>
      <c r="P91" s="180"/>
      <c r="Q91" s="180"/>
      <c r="R91" s="180"/>
      <c r="S91" s="180"/>
      <c r="T91" s="180"/>
      <c r="U91" s="180"/>
      <c r="V91" s="180"/>
      <c r="W91" s="180"/>
      <c r="X91" s="179"/>
      <c r="Y91" s="179"/>
    </row>
    <row r="92" spans="1:25">
      <c r="A92" s="180"/>
      <c r="B92" s="180"/>
      <c r="C92" s="180"/>
      <c r="D92" s="180"/>
      <c r="E92" s="180"/>
      <c r="F92" s="180"/>
      <c r="G92" s="177"/>
      <c r="H92" s="177"/>
      <c r="I92" s="178"/>
      <c r="J92" s="181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79"/>
      <c r="Y92" s="179"/>
    </row>
    <row r="93" spans="1:25">
      <c r="A93" s="180"/>
      <c r="B93" s="180"/>
      <c r="C93" s="180"/>
      <c r="D93" s="180"/>
      <c r="E93" s="180"/>
      <c r="F93" s="180"/>
      <c r="G93" s="177"/>
      <c r="H93" s="177"/>
      <c r="I93" s="178"/>
      <c r="J93" s="181"/>
      <c r="K93" s="180"/>
      <c r="L93" s="180"/>
      <c r="M93" s="180"/>
      <c r="N93" s="180"/>
      <c r="O93" s="180"/>
      <c r="P93" s="180"/>
      <c r="Q93" s="180"/>
      <c r="R93" s="180"/>
      <c r="S93" s="180"/>
      <c r="T93" s="180"/>
      <c r="U93" s="180"/>
      <c r="V93" s="180"/>
      <c r="W93" s="180"/>
      <c r="X93" s="179"/>
      <c r="Y93" s="179"/>
    </row>
    <row r="94" spans="1:25">
      <c r="A94" s="180"/>
      <c r="B94" s="180"/>
      <c r="C94" s="180"/>
      <c r="D94" s="180"/>
      <c r="E94" s="180"/>
      <c r="F94" s="180"/>
      <c r="G94" s="177"/>
      <c r="H94" s="177"/>
      <c r="I94" s="178"/>
      <c r="J94" s="181"/>
      <c r="K94" s="180"/>
      <c r="L94" s="180"/>
      <c r="M94" s="180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79"/>
      <c r="Y94" s="179"/>
    </row>
    <row r="95" spans="1:25">
      <c r="A95" s="180"/>
      <c r="B95" s="180"/>
      <c r="C95" s="180"/>
      <c r="D95" s="180"/>
      <c r="E95" s="180"/>
      <c r="F95" s="180"/>
      <c r="G95" s="177"/>
      <c r="H95" s="177"/>
      <c r="I95" s="178"/>
      <c r="J95" s="181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79"/>
      <c r="Y95" s="179"/>
    </row>
    <row r="96" spans="1:25">
      <c r="A96" s="180"/>
      <c r="B96" s="180"/>
      <c r="C96" s="180"/>
      <c r="D96" s="180"/>
      <c r="E96" s="180"/>
      <c r="F96" s="180"/>
      <c r="G96" s="177"/>
      <c r="H96" s="177"/>
      <c r="I96" s="178"/>
      <c r="J96" s="181"/>
      <c r="K96" s="180"/>
      <c r="L96" s="180"/>
      <c r="M96" s="180"/>
      <c r="N96" s="180"/>
      <c r="O96" s="180"/>
      <c r="P96" s="180"/>
      <c r="Q96" s="180"/>
      <c r="R96" s="180"/>
      <c r="S96" s="180"/>
      <c r="T96" s="180"/>
      <c r="U96" s="180"/>
      <c r="V96" s="180"/>
      <c r="W96" s="180"/>
      <c r="X96" s="179"/>
      <c r="Y96" s="179"/>
    </row>
    <row r="97" spans="1:25">
      <c r="A97" s="180"/>
      <c r="B97" s="180"/>
      <c r="C97" s="180"/>
      <c r="D97" s="180"/>
      <c r="E97" s="180"/>
      <c r="F97" s="180"/>
      <c r="G97" s="177"/>
      <c r="H97" s="177"/>
      <c r="I97" s="178"/>
      <c r="J97" s="181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79"/>
      <c r="Y97" s="179"/>
    </row>
    <row r="98" spans="1:25">
      <c r="A98" s="180"/>
      <c r="B98" s="180"/>
      <c r="C98" s="180"/>
      <c r="D98" s="180"/>
      <c r="E98" s="180"/>
      <c r="F98" s="180"/>
      <c r="G98" s="177"/>
      <c r="H98" s="177"/>
      <c r="I98" s="178"/>
      <c r="J98" s="181"/>
      <c r="K98" s="180"/>
      <c r="L98" s="180"/>
      <c r="M98" s="180"/>
      <c r="N98" s="180"/>
      <c r="O98" s="180"/>
      <c r="P98" s="180"/>
      <c r="Q98" s="180"/>
      <c r="R98" s="180"/>
      <c r="S98" s="180"/>
      <c r="T98" s="180"/>
      <c r="U98" s="180"/>
      <c r="V98" s="180"/>
      <c r="W98" s="180"/>
      <c r="X98" s="179"/>
      <c r="Y98" s="179"/>
    </row>
    <row r="99" spans="1:25">
      <c r="A99" s="180"/>
      <c r="B99" s="180"/>
      <c r="C99" s="180"/>
      <c r="D99" s="180"/>
      <c r="E99" s="180"/>
      <c r="F99" s="180"/>
      <c r="G99" s="177"/>
      <c r="H99" s="177"/>
      <c r="I99" s="178"/>
      <c r="J99" s="181"/>
      <c r="K99" s="180"/>
      <c r="L99" s="180"/>
      <c r="M99" s="180"/>
      <c r="N99" s="180"/>
      <c r="O99" s="180"/>
      <c r="P99" s="180"/>
      <c r="Q99" s="180"/>
      <c r="R99" s="180"/>
      <c r="S99" s="180"/>
      <c r="T99" s="180"/>
      <c r="U99" s="180"/>
      <c r="V99" s="180"/>
      <c r="W99" s="180"/>
      <c r="X99" s="179"/>
      <c r="Y99" s="179"/>
    </row>
    <row r="100" spans="1:25">
      <c r="A100" s="180"/>
      <c r="B100" s="180"/>
      <c r="C100" s="180"/>
      <c r="D100" s="180"/>
      <c r="E100" s="180"/>
      <c r="F100" s="180"/>
      <c r="G100" s="177"/>
      <c r="H100" s="177"/>
      <c r="I100" s="178"/>
      <c r="J100" s="181"/>
      <c r="K100" s="180"/>
      <c r="L100" s="180"/>
      <c r="M100" s="180"/>
      <c r="N100" s="180"/>
      <c r="O100" s="180"/>
      <c r="P100" s="180"/>
      <c r="Q100" s="180"/>
      <c r="R100" s="180"/>
      <c r="S100" s="180"/>
      <c r="T100" s="180"/>
      <c r="U100" s="180"/>
      <c r="V100" s="180"/>
      <c r="W100" s="180"/>
      <c r="X100" s="179"/>
      <c r="Y100" s="179"/>
    </row>
    <row r="101" spans="1:25">
      <c r="A101" s="180"/>
      <c r="B101" s="180"/>
      <c r="C101" s="180"/>
      <c r="D101" s="180"/>
      <c r="E101" s="180"/>
      <c r="F101" s="180"/>
      <c r="G101" s="177"/>
      <c r="H101" s="177"/>
      <c r="I101" s="178"/>
      <c r="J101" s="181"/>
      <c r="K101" s="180"/>
      <c r="L101" s="180"/>
      <c r="M101" s="180"/>
      <c r="N101" s="180"/>
      <c r="O101" s="180"/>
      <c r="P101" s="180"/>
      <c r="Q101" s="180"/>
      <c r="R101" s="180"/>
      <c r="S101" s="180"/>
      <c r="T101" s="180"/>
      <c r="U101" s="180"/>
      <c r="V101" s="180"/>
      <c r="W101" s="180"/>
      <c r="X101" s="179"/>
      <c r="Y101" s="179"/>
    </row>
    <row r="102" spans="1:25">
      <c r="A102" s="180"/>
      <c r="B102" s="180"/>
      <c r="C102" s="180"/>
      <c r="D102" s="180"/>
      <c r="E102" s="180"/>
      <c r="F102" s="180"/>
      <c r="G102" s="177"/>
      <c r="H102" s="177"/>
      <c r="I102" s="178"/>
      <c r="J102" s="181"/>
      <c r="K102" s="180"/>
      <c r="L102" s="180"/>
      <c r="M102" s="180"/>
      <c r="N102" s="180"/>
      <c r="O102" s="180"/>
      <c r="P102" s="180"/>
      <c r="Q102" s="180"/>
      <c r="R102" s="180"/>
      <c r="S102" s="180"/>
      <c r="T102" s="180"/>
      <c r="U102" s="180"/>
      <c r="V102" s="180"/>
      <c r="W102" s="180"/>
      <c r="X102" s="179"/>
      <c r="Y102" s="179"/>
    </row>
    <row r="103" spans="1:25">
      <c r="A103" s="180"/>
      <c r="B103" s="180"/>
      <c r="C103" s="180"/>
      <c r="D103" s="180"/>
      <c r="E103" s="180"/>
      <c r="F103" s="180"/>
      <c r="G103" s="177"/>
      <c r="H103" s="177"/>
      <c r="I103" s="178"/>
      <c r="J103" s="181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79"/>
      <c r="Y103" s="179"/>
    </row>
    <row r="104" spans="1:25">
      <c r="A104" s="180"/>
      <c r="B104" s="180"/>
      <c r="C104" s="180"/>
      <c r="D104" s="180"/>
      <c r="E104" s="180"/>
      <c r="F104" s="180"/>
      <c r="G104" s="177"/>
      <c r="H104" s="177"/>
      <c r="I104" s="178"/>
      <c r="J104" s="181"/>
      <c r="K104" s="180"/>
      <c r="L104" s="180"/>
      <c r="M104" s="180"/>
      <c r="N104" s="180"/>
      <c r="O104" s="180"/>
      <c r="P104" s="180"/>
      <c r="Q104" s="180"/>
      <c r="R104" s="180"/>
      <c r="S104" s="180"/>
      <c r="T104" s="180"/>
      <c r="U104" s="180"/>
      <c r="V104" s="180"/>
      <c r="W104" s="180"/>
      <c r="X104" s="179"/>
      <c r="Y104" s="179"/>
    </row>
    <row r="105" spans="1:25">
      <c r="A105" s="180"/>
      <c r="B105" s="180"/>
      <c r="C105" s="180"/>
      <c r="D105" s="180"/>
      <c r="E105" s="180"/>
      <c r="F105" s="180"/>
      <c r="G105" s="177"/>
      <c r="H105" s="177"/>
      <c r="I105" s="178"/>
      <c r="J105" s="181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  <c r="V105" s="180"/>
      <c r="W105" s="180"/>
      <c r="X105" s="179"/>
      <c r="Y105" s="179"/>
    </row>
    <row r="106" spans="1:25">
      <c r="A106" s="180"/>
      <c r="B106" s="180"/>
      <c r="C106" s="180"/>
      <c r="D106" s="180"/>
      <c r="E106" s="180"/>
      <c r="F106" s="180"/>
      <c r="G106" s="177"/>
      <c r="H106" s="177"/>
      <c r="I106" s="178"/>
      <c r="J106" s="181"/>
      <c r="K106" s="180"/>
      <c r="L106" s="180"/>
      <c r="M106" s="180"/>
      <c r="N106" s="180"/>
      <c r="O106" s="180"/>
      <c r="P106" s="180"/>
      <c r="Q106" s="180"/>
      <c r="R106" s="180"/>
      <c r="S106" s="180"/>
      <c r="T106" s="180"/>
      <c r="U106" s="180"/>
      <c r="V106" s="180"/>
      <c r="W106" s="180"/>
      <c r="X106" s="179"/>
      <c r="Y106" s="179"/>
    </row>
    <row r="107" spans="1:25">
      <c r="A107" s="180"/>
      <c r="B107" s="180"/>
      <c r="C107" s="180"/>
      <c r="D107" s="180"/>
      <c r="E107" s="180"/>
      <c r="F107" s="180"/>
      <c r="G107" s="177"/>
      <c r="H107" s="177"/>
      <c r="I107" s="178"/>
      <c r="J107" s="181"/>
      <c r="K107" s="180"/>
      <c r="L107" s="180"/>
      <c r="M107" s="180"/>
      <c r="N107" s="180"/>
      <c r="O107" s="180"/>
      <c r="P107" s="180"/>
      <c r="Q107" s="180"/>
      <c r="R107" s="180"/>
      <c r="S107" s="180"/>
      <c r="T107" s="180"/>
      <c r="U107" s="180"/>
      <c r="V107" s="180"/>
      <c r="W107" s="180"/>
      <c r="X107" s="179"/>
      <c r="Y107" s="179"/>
    </row>
    <row r="108" spans="1:25">
      <c r="A108" s="180"/>
      <c r="B108" s="180"/>
      <c r="C108" s="180"/>
      <c r="D108" s="180"/>
      <c r="E108" s="180"/>
      <c r="F108" s="180"/>
      <c r="G108" s="177"/>
      <c r="H108" s="177"/>
      <c r="I108" s="178"/>
      <c r="J108" s="181"/>
      <c r="K108" s="180"/>
      <c r="L108" s="180"/>
      <c r="M108" s="180"/>
      <c r="N108" s="180"/>
      <c r="O108" s="180"/>
      <c r="P108" s="180"/>
      <c r="Q108" s="180"/>
      <c r="R108" s="180"/>
      <c r="S108" s="180"/>
      <c r="T108" s="180"/>
      <c r="U108" s="180"/>
      <c r="V108" s="180"/>
      <c r="W108" s="180"/>
      <c r="X108" s="179"/>
      <c r="Y108" s="179"/>
    </row>
    <row r="109" spans="1:25">
      <c r="A109" s="180"/>
      <c r="B109" s="180"/>
      <c r="C109" s="180"/>
      <c r="D109" s="180"/>
      <c r="E109" s="180"/>
      <c r="F109" s="180"/>
      <c r="G109" s="177"/>
      <c r="H109" s="177"/>
      <c r="I109" s="178"/>
      <c r="J109" s="181"/>
      <c r="K109" s="180"/>
      <c r="L109" s="180"/>
      <c r="M109" s="180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79"/>
      <c r="Y109" s="179"/>
    </row>
    <row r="110" spans="1:25">
      <c r="A110" s="180"/>
      <c r="B110" s="180"/>
      <c r="C110" s="180"/>
      <c r="D110" s="180"/>
      <c r="E110" s="180"/>
      <c r="F110" s="180"/>
      <c r="G110" s="177"/>
      <c r="H110" s="177"/>
      <c r="I110" s="178"/>
      <c r="J110" s="181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  <c r="V110" s="180"/>
      <c r="W110" s="180"/>
      <c r="X110" s="179"/>
      <c r="Y110" s="179"/>
    </row>
    <row r="111" spans="1:25">
      <c r="A111" s="180"/>
      <c r="B111" s="180"/>
      <c r="C111" s="180"/>
      <c r="D111" s="180"/>
      <c r="E111" s="180"/>
      <c r="F111" s="180"/>
      <c r="G111" s="177"/>
      <c r="H111" s="177"/>
      <c r="I111" s="178"/>
      <c r="J111" s="181"/>
      <c r="K111" s="180"/>
      <c r="L111" s="180"/>
      <c r="M111" s="180"/>
      <c r="N111" s="180"/>
      <c r="O111" s="180"/>
      <c r="P111" s="180"/>
      <c r="Q111" s="180"/>
      <c r="R111" s="180"/>
      <c r="S111" s="180"/>
      <c r="T111" s="180"/>
      <c r="U111" s="180"/>
      <c r="V111" s="180"/>
      <c r="W111" s="180"/>
      <c r="X111" s="179"/>
      <c r="Y111" s="179"/>
    </row>
    <row r="112" spans="1:25">
      <c r="A112" s="180"/>
      <c r="B112" s="180"/>
      <c r="C112" s="180"/>
      <c r="D112" s="180"/>
      <c r="E112" s="180"/>
      <c r="F112" s="180"/>
      <c r="G112" s="177"/>
      <c r="H112" s="177"/>
      <c r="I112" s="178"/>
      <c r="J112" s="181"/>
      <c r="K112" s="180"/>
      <c r="L112" s="180"/>
      <c r="M112" s="180"/>
      <c r="N112" s="180"/>
      <c r="O112" s="180"/>
      <c r="P112" s="180"/>
      <c r="Q112" s="180"/>
      <c r="R112" s="180"/>
      <c r="S112" s="180"/>
      <c r="T112" s="180"/>
      <c r="U112" s="180"/>
      <c r="V112" s="180"/>
      <c r="W112" s="180"/>
      <c r="X112" s="179"/>
      <c r="Y112" s="179"/>
    </row>
    <row r="113" spans="1:25">
      <c r="A113" s="180"/>
      <c r="B113" s="180"/>
      <c r="C113" s="180"/>
      <c r="D113" s="180"/>
      <c r="E113" s="180"/>
      <c r="F113" s="180"/>
      <c r="G113" s="177"/>
      <c r="H113" s="177"/>
      <c r="I113" s="178"/>
      <c r="J113" s="181"/>
      <c r="K113" s="180"/>
      <c r="L113" s="180"/>
      <c r="M113" s="180"/>
      <c r="N113" s="180"/>
      <c r="O113" s="180"/>
      <c r="P113" s="180"/>
      <c r="Q113" s="180"/>
      <c r="R113" s="180"/>
      <c r="S113" s="180"/>
      <c r="T113" s="180"/>
      <c r="U113" s="180"/>
      <c r="V113" s="180"/>
      <c r="W113" s="180"/>
      <c r="X113" s="179"/>
      <c r="Y113" s="179"/>
    </row>
    <row r="114" spans="1:25">
      <c r="A114" s="180"/>
      <c r="B114" s="180"/>
      <c r="C114" s="180"/>
      <c r="D114" s="180"/>
      <c r="E114" s="180"/>
      <c r="F114" s="180"/>
      <c r="G114" s="177"/>
      <c r="H114" s="177"/>
      <c r="I114" s="178"/>
      <c r="J114" s="181"/>
      <c r="K114" s="180"/>
      <c r="L114" s="180"/>
      <c r="M114" s="180"/>
      <c r="N114" s="180"/>
      <c r="O114" s="180"/>
      <c r="P114" s="180"/>
      <c r="Q114" s="180"/>
      <c r="R114" s="180"/>
      <c r="S114" s="180"/>
      <c r="T114" s="180"/>
      <c r="U114" s="180"/>
      <c r="V114" s="180"/>
      <c r="W114" s="180"/>
      <c r="X114" s="179"/>
      <c r="Y114" s="179"/>
    </row>
    <row r="115" spans="1:25">
      <c r="A115" s="180"/>
      <c r="B115" s="180"/>
      <c r="C115" s="180"/>
      <c r="D115" s="180"/>
      <c r="E115" s="180"/>
      <c r="F115" s="180"/>
      <c r="G115" s="177"/>
      <c r="H115" s="177"/>
      <c r="I115" s="178"/>
      <c r="J115" s="181"/>
      <c r="K115" s="180"/>
      <c r="L115" s="180"/>
      <c r="M115" s="180"/>
      <c r="N115" s="180"/>
      <c r="O115" s="180"/>
      <c r="P115" s="180"/>
      <c r="Q115" s="180"/>
      <c r="R115" s="180"/>
      <c r="S115" s="180"/>
      <c r="T115" s="180"/>
      <c r="U115" s="180"/>
      <c r="V115" s="180"/>
      <c r="W115" s="180"/>
      <c r="X115" s="179"/>
      <c r="Y115" s="179"/>
    </row>
    <row r="116" spans="1:25">
      <c r="A116" s="180"/>
      <c r="B116" s="180"/>
      <c r="C116" s="180"/>
      <c r="D116" s="180"/>
      <c r="E116" s="180"/>
      <c r="F116" s="180"/>
      <c r="G116" s="177"/>
      <c r="H116" s="177"/>
      <c r="I116" s="178"/>
      <c r="J116" s="181"/>
      <c r="K116" s="180"/>
      <c r="L116" s="180"/>
      <c r="M116" s="180"/>
      <c r="N116" s="180"/>
      <c r="O116" s="180"/>
      <c r="P116" s="180"/>
      <c r="Q116" s="180"/>
      <c r="R116" s="180"/>
      <c r="S116" s="180"/>
      <c r="T116" s="180"/>
      <c r="U116" s="180"/>
      <c r="V116" s="180"/>
      <c r="W116" s="180"/>
      <c r="X116" s="179"/>
      <c r="Y116" s="179"/>
    </row>
    <row r="117" spans="1:25">
      <c r="A117" s="180"/>
      <c r="B117" s="180"/>
      <c r="C117" s="180"/>
      <c r="D117" s="180"/>
      <c r="E117" s="180"/>
      <c r="F117" s="180"/>
      <c r="G117" s="177"/>
      <c r="H117" s="177"/>
      <c r="I117" s="178"/>
      <c r="J117" s="181"/>
      <c r="K117" s="180"/>
      <c r="L117" s="180"/>
      <c r="M117" s="180"/>
      <c r="N117" s="180"/>
      <c r="O117" s="180"/>
      <c r="P117" s="180"/>
      <c r="Q117" s="180"/>
      <c r="R117" s="180"/>
      <c r="S117" s="180"/>
      <c r="T117" s="180"/>
      <c r="U117" s="180"/>
      <c r="V117" s="180"/>
      <c r="W117" s="180"/>
      <c r="X117" s="179"/>
      <c r="Y117" s="179"/>
    </row>
    <row r="118" spans="1:25">
      <c r="A118" s="180"/>
      <c r="B118" s="180"/>
      <c r="C118" s="180"/>
      <c r="D118" s="180"/>
      <c r="E118" s="180"/>
      <c r="F118" s="180"/>
      <c r="G118" s="177"/>
      <c r="H118" s="177"/>
      <c r="I118" s="178"/>
      <c r="J118" s="181"/>
      <c r="K118" s="180"/>
      <c r="L118" s="180"/>
      <c r="M118" s="180"/>
      <c r="N118" s="180"/>
      <c r="O118" s="180"/>
      <c r="P118" s="180"/>
      <c r="Q118" s="180"/>
      <c r="R118" s="180"/>
      <c r="S118" s="180"/>
      <c r="T118" s="180"/>
      <c r="U118" s="180"/>
      <c r="V118" s="180"/>
      <c r="W118" s="180"/>
      <c r="X118" s="179"/>
      <c r="Y118" s="179"/>
    </row>
    <row r="119" spans="1:25">
      <c r="A119" s="180"/>
      <c r="B119" s="180"/>
      <c r="C119" s="180"/>
      <c r="D119" s="180"/>
      <c r="E119" s="180"/>
      <c r="F119" s="180"/>
      <c r="G119" s="177"/>
      <c r="H119" s="177"/>
      <c r="I119" s="178"/>
      <c r="J119" s="181"/>
      <c r="K119" s="180"/>
      <c r="L119" s="180"/>
      <c r="M119" s="180"/>
      <c r="N119" s="180"/>
      <c r="O119" s="180"/>
      <c r="P119" s="180"/>
      <c r="Q119" s="180"/>
      <c r="R119" s="180"/>
      <c r="S119" s="180"/>
      <c r="T119" s="180"/>
      <c r="U119" s="180"/>
      <c r="V119" s="180"/>
      <c r="W119" s="180"/>
      <c r="X119" s="179"/>
      <c r="Y119" s="179"/>
    </row>
    <row r="120" spans="1:25">
      <c r="A120" s="180"/>
      <c r="B120" s="180"/>
      <c r="C120" s="180"/>
      <c r="D120" s="180"/>
      <c r="E120" s="180"/>
      <c r="F120" s="180"/>
      <c r="G120" s="177"/>
      <c r="H120" s="177"/>
      <c r="I120" s="178"/>
      <c r="J120" s="181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79"/>
      <c r="Y120" s="179"/>
    </row>
    <row r="121" spans="1:25">
      <c r="A121" s="180"/>
      <c r="B121" s="180"/>
      <c r="C121" s="180"/>
      <c r="D121" s="180"/>
      <c r="E121" s="180"/>
      <c r="F121" s="180"/>
      <c r="G121" s="177"/>
      <c r="H121" s="177"/>
      <c r="I121" s="178"/>
      <c r="J121" s="181"/>
      <c r="K121" s="180"/>
      <c r="L121" s="180"/>
      <c r="M121" s="180"/>
      <c r="N121" s="180"/>
      <c r="O121" s="180"/>
      <c r="P121" s="180"/>
      <c r="Q121" s="180"/>
      <c r="R121" s="180"/>
      <c r="S121" s="180"/>
      <c r="T121" s="180"/>
      <c r="U121" s="180"/>
      <c r="V121" s="180"/>
      <c r="W121" s="180"/>
      <c r="X121" s="179"/>
      <c r="Y121" s="179"/>
    </row>
    <row r="122" spans="1:25">
      <c r="A122" s="180"/>
      <c r="B122" s="180"/>
      <c r="C122" s="180"/>
      <c r="D122" s="180"/>
      <c r="E122" s="180"/>
      <c r="F122" s="180"/>
      <c r="G122" s="177"/>
      <c r="H122" s="177"/>
      <c r="I122" s="178"/>
      <c r="J122" s="181"/>
      <c r="K122" s="180"/>
      <c r="L122" s="180"/>
      <c r="M122" s="180"/>
      <c r="N122" s="180"/>
      <c r="O122" s="180"/>
      <c r="P122" s="180"/>
      <c r="Q122" s="180"/>
      <c r="R122" s="180"/>
      <c r="S122" s="180"/>
      <c r="T122" s="180"/>
      <c r="U122" s="180"/>
      <c r="V122" s="180"/>
      <c r="W122" s="180"/>
      <c r="X122" s="179"/>
      <c r="Y122" s="179"/>
    </row>
    <row r="123" spans="1:25">
      <c r="A123" s="180"/>
      <c r="B123" s="180"/>
      <c r="C123" s="180"/>
      <c r="D123" s="180"/>
      <c r="E123" s="180"/>
      <c r="F123" s="180"/>
      <c r="G123" s="177"/>
      <c r="H123" s="177"/>
      <c r="I123" s="178"/>
      <c r="J123" s="181"/>
      <c r="K123" s="180"/>
      <c r="L123" s="180"/>
      <c r="M123" s="180"/>
      <c r="N123" s="180"/>
      <c r="O123" s="180"/>
      <c r="P123" s="180"/>
      <c r="Q123" s="180"/>
      <c r="R123" s="180"/>
      <c r="S123" s="180"/>
      <c r="T123" s="180"/>
      <c r="U123" s="180"/>
      <c r="V123" s="180"/>
      <c r="W123" s="180"/>
      <c r="X123" s="179"/>
      <c r="Y123" s="179"/>
    </row>
    <row r="124" spans="1:25">
      <c r="A124" s="180"/>
      <c r="B124" s="180"/>
      <c r="C124" s="180"/>
      <c r="D124" s="180"/>
      <c r="E124" s="180"/>
      <c r="F124" s="180"/>
      <c r="G124" s="177"/>
      <c r="H124" s="177"/>
      <c r="I124" s="178"/>
      <c r="J124" s="181"/>
      <c r="K124" s="180"/>
      <c r="L124" s="180"/>
      <c r="M124" s="180"/>
      <c r="N124" s="180"/>
      <c r="O124" s="180"/>
      <c r="P124" s="180"/>
      <c r="Q124" s="180"/>
      <c r="R124" s="180"/>
      <c r="S124" s="180"/>
      <c r="T124" s="180"/>
      <c r="U124" s="180"/>
      <c r="V124" s="180"/>
      <c r="W124" s="180"/>
      <c r="X124" s="179"/>
      <c r="Y124" s="179"/>
    </row>
    <row r="125" spans="1:25">
      <c r="A125" s="180"/>
      <c r="B125" s="180"/>
      <c r="C125" s="180"/>
      <c r="D125" s="180"/>
      <c r="E125" s="180"/>
      <c r="F125" s="180"/>
      <c r="G125" s="177"/>
      <c r="H125" s="177"/>
      <c r="I125" s="178"/>
      <c r="J125" s="181"/>
      <c r="K125" s="180"/>
      <c r="L125" s="180"/>
      <c r="M125" s="180"/>
      <c r="N125" s="180"/>
      <c r="O125" s="180"/>
      <c r="P125" s="180"/>
      <c r="Q125" s="180"/>
      <c r="R125" s="180"/>
      <c r="S125" s="180"/>
      <c r="T125" s="180"/>
      <c r="U125" s="180"/>
      <c r="V125" s="180"/>
      <c r="W125" s="180"/>
      <c r="X125" s="179"/>
      <c r="Y125" s="179"/>
    </row>
    <row r="126" spans="1:25">
      <c r="A126" s="180"/>
      <c r="B126" s="180"/>
      <c r="C126" s="180"/>
      <c r="D126" s="180"/>
      <c r="E126" s="180"/>
      <c r="F126" s="180"/>
      <c r="G126" s="177"/>
      <c r="H126" s="177"/>
      <c r="I126" s="178"/>
      <c r="J126" s="181"/>
      <c r="K126" s="180"/>
      <c r="L126" s="180"/>
      <c r="M126" s="180"/>
      <c r="N126" s="180"/>
      <c r="O126" s="180"/>
      <c r="P126" s="180"/>
      <c r="Q126" s="180"/>
      <c r="R126" s="180"/>
      <c r="S126" s="180"/>
      <c r="T126" s="180"/>
      <c r="U126" s="180"/>
      <c r="V126" s="180"/>
      <c r="W126" s="180"/>
      <c r="X126" s="179"/>
      <c r="Y126" s="179"/>
    </row>
    <row r="127" spans="1:25">
      <c r="A127" s="180"/>
      <c r="B127" s="180"/>
      <c r="C127" s="180"/>
      <c r="D127" s="180"/>
      <c r="E127" s="180"/>
      <c r="F127" s="180"/>
      <c r="G127" s="177"/>
      <c r="H127" s="177"/>
      <c r="I127" s="178"/>
      <c r="J127" s="181"/>
      <c r="K127" s="180"/>
      <c r="L127" s="180"/>
      <c r="M127" s="180"/>
      <c r="N127" s="180"/>
      <c r="O127" s="180"/>
      <c r="P127" s="180"/>
      <c r="Q127" s="180"/>
      <c r="R127" s="180"/>
      <c r="S127" s="180"/>
      <c r="T127" s="180"/>
      <c r="U127" s="180"/>
      <c r="V127" s="180"/>
      <c r="W127" s="180"/>
      <c r="X127" s="179"/>
      <c r="Y127" s="179"/>
    </row>
    <row r="128" spans="1:25">
      <c r="A128" s="180"/>
      <c r="B128" s="180"/>
      <c r="C128" s="180"/>
      <c r="D128" s="180"/>
      <c r="E128" s="180"/>
      <c r="F128" s="180"/>
      <c r="G128" s="177"/>
      <c r="H128" s="177"/>
      <c r="I128" s="178"/>
      <c r="J128" s="181"/>
      <c r="K128" s="180"/>
      <c r="L128" s="180"/>
      <c r="M128" s="180"/>
      <c r="N128" s="180"/>
      <c r="O128" s="180"/>
      <c r="P128" s="180"/>
      <c r="Q128" s="180"/>
      <c r="R128" s="180"/>
      <c r="S128" s="180"/>
      <c r="T128" s="180"/>
      <c r="U128" s="180"/>
      <c r="V128" s="180"/>
      <c r="W128" s="180"/>
      <c r="X128" s="179"/>
      <c r="Y128" s="179"/>
    </row>
    <row r="129" spans="1:25">
      <c r="A129" s="180"/>
      <c r="B129" s="180"/>
      <c r="C129" s="180"/>
      <c r="D129" s="180"/>
      <c r="E129" s="180"/>
      <c r="F129" s="180"/>
      <c r="G129" s="177"/>
      <c r="H129" s="177"/>
      <c r="I129" s="178"/>
      <c r="J129" s="181"/>
      <c r="K129" s="180"/>
      <c r="L129" s="180"/>
      <c r="M129" s="180"/>
      <c r="N129" s="180"/>
      <c r="O129" s="180"/>
      <c r="P129" s="180"/>
      <c r="Q129" s="180"/>
      <c r="R129" s="180"/>
      <c r="S129" s="180"/>
      <c r="T129" s="180"/>
      <c r="U129" s="180"/>
      <c r="V129" s="180"/>
      <c r="W129" s="180"/>
      <c r="X129" s="179"/>
      <c r="Y129" s="179"/>
    </row>
    <row r="130" spans="1:25">
      <c r="A130" s="180"/>
      <c r="B130" s="180"/>
      <c r="C130" s="180"/>
      <c r="D130" s="180"/>
      <c r="E130" s="180"/>
      <c r="F130" s="180"/>
      <c r="G130" s="177"/>
      <c r="H130" s="177"/>
      <c r="I130" s="178"/>
      <c r="J130" s="181"/>
      <c r="K130" s="180"/>
      <c r="L130" s="180"/>
      <c r="M130" s="180"/>
      <c r="N130" s="180"/>
      <c r="O130" s="180"/>
      <c r="P130" s="180"/>
      <c r="Q130" s="180"/>
      <c r="R130" s="180"/>
      <c r="S130" s="180"/>
      <c r="T130" s="180"/>
      <c r="U130" s="180"/>
      <c r="V130" s="180"/>
      <c r="W130" s="180"/>
      <c r="X130" s="179"/>
      <c r="Y130" s="179"/>
    </row>
    <row r="131" spans="1:25">
      <c r="A131" s="180"/>
      <c r="B131" s="180"/>
      <c r="C131" s="180"/>
      <c r="D131" s="180"/>
      <c r="E131" s="180"/>
      <c r="F131" s="180"/>
      <c r="G131" s="177"/>
      <c r="H131" s="177"/>
      <c r="I131" s="178"/>
      <c r="J131" s="181"/>
      <c r="K131" s="180"/>
      <c r="L131" s="180"/>
      <c r="M131" s="180"/>
      <c r="N131" s="180"/>
      <c r="O131" s="180"/>
      <c r="P131" s="180"/>
      <c r="Q131" s="180"/>
      <c r="R131" s="180"/>
      <c r="S131" s="180"/>
      <c r="T131" s="180"/>
      <c r="U131" s="180"/>
      <c r="V131" s="180"/>
      <c r="W131" s="180"/>
      <c r="X131" s="179"/>
      <c r="Y131" s="179"/>
    </row>
    <row r="132" spans="1:25">
      <c r="A132" s="180"/>
      <c r="B132" s="180"/>
      <c r="C132" s="180"/>
      <c r="D132" s="180"/>
      <c r="E132" s="180"/>
      <c r="F132" s="180"/>
      <c r="G132" s="177"/>
      <c r="H132" s="177"/>
      <c r="I132" s="178"/>
      <c r="J132" s="181"/>
      <c r="K132" s="180"/>
      <c r="L132" s="180"/>
      <c r="M132" s="180"/>
      <c r="N132" s="180"/>
      <c r="O132" s="180"/>
      <c r="P132" s="180"/>
      <c r="Q132" s="180"/>
      <c r="R132" s="180"/>
      <c r="S132" s="180"/>
      <c r="T132" s="180"/>
      <c r="U132" s="180"/>
      <c r="V132" s="180"/>
      <c r="W132" s="180"/>
      <c r="X132" s="179"/>
      <c r="Y132" s="179"/>
    </row>
    <row r="133" spans="1:25">
      <c r="A133" s="180"/>
      <c r="B133" s="180"/>
      <c r="C133" s="180"/>
      <c r="D133" s="180"/>
      <c r="E133" s="180"/>
      <c r="F133" s="180"/>
      <c r="G133" s="177"/>
      <c r="H133" s="177"/>
      <c r="I133" s="178"/>
      <c r="J133" s="181"/>
      <c r="K133" s="180"/>
      <c r="L133" s="180"/>
      <c r="M133" s="180"/>
      <c r="N133" s="180"/>
      <c r="O133" s="180"/>
      <c r="P133" s="180"/>
      <c r="Q133" s="180"/>
      <c r="R133" s="180"/>
      <c r="S133" s="180"/>
      <c r="T133" s="180"/>
      <c r="U133" s="180"/>
      <c r="V133" s="180"/>
      <c r="W133" s="180"/>
      <c r="X133" s="179"/>
      <c r="Y133" s="179"/>
    </row>
    <row r="134" spans="1:25">
      <c r="A134" s="180"/>
      <c r="B134" s="180"/>
      <c r="C134" s="180"/>
      <c r="D134" s="180"/>
      <c r="E134" s="180"/>
      <c r="F134" s="180"/>
      <c r="G134" s="177"/>
      <c r="H134" s="177"/>
      <c r="I134" s="178"/>
      <c r="J134" s="181"/>
      <c r="K134" s="180"/>
      <c r="L134" s="180"/>
      <c r="M134" s="180"/>
      <c r="N134" s="180"/>
      <c r="O134" s="180"/>
      <c r="P134" s="180"/>
      <c r="Q134" s="180"/>
      <c r="R134" s="180"/>
      <c r="S134" s="180"/>
      <c r="T134" s="180"/>
      <c r="U134" s="180"/>
      <c r="V134" s="180"/>
      <c r="W134" s="180"/>
      <c r="X134" s="179"/>
      <c r="Y134" s="179"/>
    </row>
    <row r="135" spans="1:25">
      <c r="A135" s="180"/>
      <c r="B135" s="180"/>
      <c r="C135" s="180"/>
      <c r="D135" s="180"/>
      <c r="E135" s="180"/>
      <c r="F135" s="180"/>
      <c r="G135" s="177"/>
      <c r="H135" s="177"/>
      <c r="I135" s="178"/>
      <c r="J135" s="181"/>
      <c r="K135" s="180"/>
      <c r="L135" s="180"/>
      <c r="M135" s="180"/>
      <c r="N135" s="180"/>
      <c r="O135" s="180"/>
      <c r="P135" s="180"/>
      <c r="Q135" s="180"/>
      <c r="R135" s="180"/>
      <c r="S135" s="180"/>
      <c r="T135" s="180"/>
      <c r="U135" s="180"/>
      <c r="V135" s="180"/>
      <c r="W135" s="180"/>
      <c r="X135" s="179"/>
      <c r="Y135" s="179"/>
    </row>
    <row r="136" spans="1:25">
      <c r="A136" s="180"/>
      <c r="B136" s="180"/>
      <c r="C136" s="180"/>
      <c r="D136" s="180"/>
      <c r="E136" s="180"/>
      <c r="F136" s="180"/>
      <c r="G136" s="177"/>
      <c r="H136" s="177"/>
      <c r="I136" s="178"/>
      <c r="J136" s="181"/>
      <c r="K136" s="180"/>
      <c r="L136" s="180"/>
      <c r="M136" s="180"/>
      <c r="N136" s="180"/>
      <c r="O136" s="180"/>
      <c r="P136" s="180"/>
      <c r="Q136" s="180"/>
      <c r="R136" s="180"/>
      <c r="S136" s="180"/>
      <c r="T136" s="180"/>
      <c r="U136" s="180"/>
      <c r="V136" s="180"/>
      <c r="W136" s="180"/>
      <c r="X136" s="179"/>
      <c r="Y136" s="179"/>
    </row>
    <row r="137" spans="1:25">
      <c r="A137" s="180"/>
      <c r="B137" s="180"/>
      <c r="C137" s="180"/>
      <c r="D137" s="180"/>
      <c r="E137" s="180"/>
      <c r="F137" s="180"/>
      <c r="G137" s="177"/>
      <c r="H137" s="177"/>
      <c r="I137" s="178"/>
      <c r="J137" s="181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79"/>
      <c r="Y137" s="179"/>
    </row>
    <row r="138" spans="1:25">
      <c r="A138" s="180"/>
      <c r="B138" s="180"/>
      <c r="C138" s="180"/>
      <c r="D138" s="180"/>
      <c r="E138" s="180"/>
      <c r="F138" s="180"/>
      <c r="G138" s="177"/>
      <c r="H138" s="177"/>
      <c r="I138" s="178"/>
      <c r="J138" s="181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79"/>
      <c r="Y138" s="179"/>
    </row>
    <row r="139" spans="1:25">
      <c r="A139" s="180"/>
      <c r="B139" s="180"/>
      <c r="C139" s="180"/>
      <c r="D139" s="180"/>
      <c r="E139" s="180"/>
      <c r="F139" s="180"/>
      <c r="G139" s="177"/>
      <c r="H139" s="177"/>
      <c r="I139" s="178"/>
      <c r="J139" s="181"/>
      <c r="K139" s="180"/>
      <c r="L139" s="180"/>
      <c r="M139" s="180"/>
      <c r="N139" s="180"/>
      <c r="O139" s="180"/>
      <c r="P139" s="180"/>
      <c r="Q139" s="180"/>
      <c r="R139" s="180"/>
      <c r="S139" s="180"/>
      <c r="T139" s="180"/>
      <c r="U139" s="180"/>
      <c r="V139" s="180"/>
      <c r="W139" s="180"/>
      <c r="X139" s="179"/>
      <c r="Y139" s="179"/>
    </row>
    <row r="140" spans="1:25">
      <c r="A140" s="180"/>
      <c r="B140" s="180"/>
      <c r="C140" s="180"/>
      <c r="D140" s="180"/>
      <c r="E140" s="180"/>
      <c r="F140" s="180"/>
      <c r="G140" s="177"/>
      <c r="H140" s="177"/>
      <c r="I140" s="178"/>
      <c r="J140" s="181"/>
      <c r="K140" s="180"/>
      <c r="L140" s="180"/>
      <c r="M140" s="180"/>
      <c r="N140" s="180"/>
      <c r="O140" s="180"/>
      <c r="P140" s="180"/>
      <c r="Q140" s="180"/>
      <c r="R140" s="180"/>
      <c r="S140" s="180"/>
      <c r="T140" s="180"/>
      <c r="U140" s="180"/>
      <c r="V140" s="180"/>
      <c r="W140" s="180"/>
      <c r="X140" s="179"/>
      <c r="Y140" s="179"/>
    </row>
    <row r="141" spans="1:25">
      <c r="A141" s="180"/>
      <c r="B141" s="180"/>
      <c r="C141" s="180"/>
      <c r="D141" s="180"/>
      <c r="E141" s="180"/>
      <c r="F141" s="180"/>
      <c r="G141" s="177"/>
      <c r="H141" s="177"/>
      <c r="I141" s="178"/>
      <c r="J141" s="181"/>
      <c r="K141" s="180"/>
      <c r="L141" s="180"/>
      <c r="M141" s="180"/>
      <c r="N141" s="180"/>
      <c r="O141" s="180"/>
      <c r="P141" s="180"/>
      <c r="Q141" s="180"/>
      <c r="R141" s="180"/>
      <c r="S141" s="180"/>
      <c r="T141" s="180"/>
      <c r="U141" s="180"/>
      <c r="V141" s="180"/>
      <c r="W141" s="180"/>
      <c r="X141" s="179"/>
      <c r="Y141" s="179"/>
    </row>
    <row r="142" spans="1:25">
      <c r="A142" s="180"/>
      <c r="B142" s="180"/>
      <c r="C142" s="180"/>
      <c r="D142" s="180"/>
      <c r="E142" s="180"/>
      <c r="F142" s="180"/>
      <c r="G142" s="177"/>
      <c r="H142" s="177"/>
      <c r="I142" s="178"/>
      <c r="J142" s="181"/>
      <c r="K142" s="180"/>
      <c r="L142" s="180"/>
      <c r="M142" s="180"/>
      <c r="N142" s="180"/>
      <c r="O142" s="180"/>
      <c r="P142" s="180"/>
      <c r="Q142" s="180"/>
      <c r="R142" s="180"/>
      <c r="S142" s="180"/>
      <c r="T142" s="180"/>
      <c r="U142" s="180"/>
      <c r="V142" s="180"/>
      <c r="W142" s="180"/>
      <c r="X142" s="179"/>
      <c r="Y142" s="179"/>
    </row>
    <row r="143" spans="1:25">
      <c r="A143" s="180"/>
      <c r="B143" s="180"/>
      <c r="C143" s="180"/>
      <c r="D143" s="180"/>
      <c r="E143" s="180"/>
      <c r="F143" s="180"/>
      <c r="G143" s="177"/>
      <c r="H143" s="177"/>
      <c r="I143" s="178"/>
      <c r="J143" s="181"/>
      <c r="K143" s="180"/>
      <c r="L143" s="180"/>
      <c r="M143" s="180"/>
      <c r="N143" s="180"/>
      <c r="O143" s="180"/>
      <c r="P143" s="180"/>
      <c r="Q143" s="180"/>
      <c r="R143" s="180"/>
      <c r="S143" s="180"/>
      <c r="T143" s="180"/>
      <c r="U143" s="180"/>
      <c r="V143" s="180"/>
      <c r="W143" s="180"/>
      <c r="X143" s="179"/>
      <c r="Y143" s="179"/>
    </row>
    <row r="144" spans="1:25">
      <c r="A144" s="180"/>
      <c r="B144" s="180"/>
      <c r="C144" s="180"/>
      <c r="D144" s="180"/>
      <c r="E144" s="180"/>
      <c r="F144" s="180"/>
      <c r="G144" s="177"/>
      <c r="H144" s="177"/>
      <c r="I144" s="178"/>
      <c r="J144" s="181"/>
      <c r="K144" s="180"/>
      <c r="L144" s="180"/>
      <c r="M144" s="180"/>
      <c r="N144" s="180"/>
      <c r="O144" s="180"/>
      <c r="P144" s="180"/>
      <c r="Q144" s="180"/>
      <c r="R144" s="180"/>
      <c r="S144" s="180"/>
      <c r="T144" s="180"/>
      <c r="U144" s="180"/>
      <c r="V144" s="180"/>
      <c r="W144" s="180"/>
      <c r="X144" s="179"/>
      <c r="Y144" s="179"/>
    </row>
    <row r="145" spans="1:25">
      <c r="A145" s="180"/>
      <c r="B145" s="180"/>
      <c r="C145" s="180"/>
      <c r="D145" s="180"/>
      <c r="E145" s="180"/>
      <c r="F145" s="180"/>
      <c r="G145" s="177"/>
      <c r="H145" s="177"/>
      <c r="I145" s="178"/>
      <c r="J145" s="181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79"/>
      <c r="Y145" s="179"/>
    </row>
    <row r="146" spans="1:25">
      <c r="A146" s="180"/>
      <c r="B146" s="180"/>
      <c r="C146" s="180"/>
      <c r="D146" s="180"/>
      <c r="E146" s="180"/>
      <c r="F146" s="180"/>
      <c r="G146" s="177"/>
      <c r="H146" s="177"/>
      <c r="I146" s="178"/>
      <c r="J146" s="181"/>
      <c r="K146" s="180"/>
      <c r="L146" s="180"/>
      <c r="M146" s="180"/>
      <c r="N146" s="180"/>
      <c r="O146" s="180"/>
      <c r="P146" s="180"/>
      <c r="Q146" s="180"/>
      <c r="R146" s="180"/>
      <c r="S146" s="180"/>
      <c r="T146" s="180"/>
      <c r="U146" s="180"/>
      <c r="V146" s="180"/>
      <c r="W146" s="180"/>
      <c r="X146" s="179"/>
      <c r="Y146" s="179"/>
    </row>
    <row r="147" spans="1:25">
      <c r="A147" s="180"/>
      <c r="B147" s="180"/>
      <c r="C147" s="180"/>
      <c r="D147" s="180"/>
      <c r="E147" s="180"/>
      <c r="F147" s="180"/>
      <c r="G147" s="177"/>
      <c r="H147" s="177"/>
      <c r="I147" s="178"/>
      <c r="J147" s="181"/>
      <c r="K147" s="180"/>
      <c r="L147" s="180"/>
      <c r="M147" s="180"/>
      <c r="N147" s="180"/>
      <c r="O147" s="180"/>
      <c r="P147" s="180"/>
      <c r="Q147" s="180"/>
      <c r="R147" s="180"/>
      <c r="S147" s="180"/>
      <c r="T147" s="180"/>
      <c r="U147" s="180"/>
      <c r="V147" s="180"/>
      <c r="W147" s="180"/>
      <c r="X147" s="179"/>
      <c r="Y147" s="179"/>
    </row>
    <row r="148" spans="1:25">
      <c r="A148" s="180"/>
      <c r="B148" s="180"/>
      <c r="C148" s="180"/>
      <c r="D148" s="180"/>
      <c r="E148" s="180"/>
      <c r="F148" s="180"/>
      <c r="G148" s="177"/>
      <c r="H148" s="177"/>
      <c r="I148" s="178"/>
      <c r="J148" s="181"/>
      <c r="K148" s="180"/>
      <c r="L148" s="180"/>
      <c r="M148" s="180"/>
      <c r="N148" s="180"/>
      <c r="O148" s="180"/>
      <c r="P148" s="180"/>
      <c r="Q148" s="180"/>
      <c r="R148" s="180"/>
      <c r="S148" s="180"/>
      <c r="T148" s="180"/>
      <c r="U148" s="180"/>
      <c r="V148" s="180"/>
      <c r="W148" s="180"/>
      <c r="X148" s="179"/>
      <c r="Y148" s="179"/>
    </row>
    <row r="149" spans="1:25">
      <c r="A149" s="180"/>
      <c r="B149" s="180"/>
      <c r="C149" s="180"/>
      <c r="D149" s="180"/>
      <c r="E149" s="180"/>
      <c r="F149" s="180"/>
      <c r="G149" s="177"/>
      <c r="H149" s="177"/>
      <c r="I149" s="178"/>
      <c r="J149" s="181"/>
      <c r="K149" s="180"/>
      <c r="L149" s="180"/>
      <c r="M149" s="180"/>
      <c r="N149" s="180"/>
      <c r="O149" s="180"/>
      <c r="P149" s="180"/>
      <c r="Q149" s="180"/>
      <c r="R149" s="180"/>
      <c r="S149" s="180"/>
      <c r="T149" s="180"/>
      <c r="U149" s="180"/>
      <c r="V149" s="180"/>
      <c r="W149" s="180"/>
      <c r="X149" s="179"/>
      <c r="Y149" s="179"/>
    </row>
    <row r="150" spans="1:25">
      <c r="A150" s="180"/>
      <c r="B150" s="180"/>
      <c r="C150" s="180"/>
      <c r="D150" s="180"/>
      <c r="E150" s="180"/>
      <c r="F150" s="180"/>
      <c r="G150" s="177"/>
      <c r="H150" s="177"/>
      <c r="I150" s="178"/>
      <c r="J150" s="181"/>
      <c r="K150" s="180"/>
      <c r="L150" s="180"/>
      <c r="M150" s="180"/>
      <c r="N150" s="180"/>
      <c r="O150" s="180"/>
      <c r="P150" s="180"/>
      <c r="Q150" s="180"/>
      <c r="R150" s="180"/>
      <c r="S150" s="180"/>
      <c r="T150" s="180"/>
      <c r="U150" s="180"/>
      <c r="V150" s="180"/>
      <c r="W150" s="180"/>
      <c r="X150" s="179"/>
      <c r="Y150" s="179"/>
    </row>
    <row r="151" spans="1:25">
      <c r="A151" s="180"/>
      <c r="B151" s="180"/>
      <c r="C151" s="180"/>
      <c r="D151" s="180"/>
      <c r="E151" s="180"/>
      <c r="F151" s="180"/>
      <c r="G151" s="177"/>
      <c r="H151" s="177"/>
      <c r="I151" s="178"/>
      <c r="J151" s="181"/>
      <c r="K151" s="180"/>
      <c r="L151" s="180"/>
      <c r="M151" s="180"/>
      <c r="N151" s="180"/>
      <c r="O151" s="180"/>
      <c r="P151" s="180"/>
      <c r="Q151" s="180"/>
      <c r="R151" s="180"/>
      <c r="S151" s="180"/>
      <c r="T151" s="180"/>
      <c r="U151" s="180"/>
      <c r="V151" s="180"/>
      <c r="W151" s="180"/>
      <c r="X151" s="179"/>
      <c r="Y151" s="179"/>
    </row>
    <row r="152" spans="1:25">
      <c r="A152" s="180"/>
      <c r="B152" s="180"/>
      <c r="C152" s="180"/>
      <c r="D152" s="180"/>
      <c r="E152" s="180"/>
      <c r="F152" s="180"/>
      <c r="G152" s="177"/>
      <c r="H152" s="177"/>
      <c r="I152" s="178"/>
      <c r="J152" s="181"/>
      <c r="K152" s="180"/>
      <c r="L152" s="180"/>
      <c r="M152" s="180"/>
      <c r="N152" s="180"/>
      <c r="O152" s="180"/>
      <c r="P152" s="180"/>
      <c r="Q152" s="180"/>
      <c r="R152" s="180"/>
      <c r="S152" s="180"/>
      <c r="T152" s="180"/>
      <c r="U152" s="180"/>
      <c r="V152" s="180"/>
      <c r="W152" s="180"/>
      <c r="X152" s="179"/>
      <c r="Y152" s="179"/>
    </row>
    <row r="153" spans="1:25">
      <c r="A153" s="180"/>
      <c r="B153" s="180"/>
      <c r="C153" s="180"/>
      <c r="D153" s="180"/>
      <c r="E153" s="180"/>
      <c r="F153" s="180"/>
      <c r="G153" s="177"/>
      <c r="H153" s="177"/>
      <c r="I153" s="178"/>
      <c r="J153" s="181"/>
      <c r="K153" s="180"/>
      <c r="L153" s="180"/>
      <c r="M153" s="180"/>
      <c r="N153" s="180"/>
      <c r="O153" s="180"/>
      <c r="P153" s="180"/>
      <c r="Q153" s="180"/>
      <c r="R153" s="180"/>
      <c r="S153" s="180"/>
      <c r="T153" s="180"/>
      <c r="U153" s="180"/>
      <c r="V153" s="180"/>
      <c r="W153" s="180"/>
      <c r="X153" s="179"/>
      <c r="Y153" s="179"/>
    </row>
    <row r="154" spans="1:25">
      <c r="A154" s="180"/>
      <c r="B154" s="180"/>
      <c r="C154" s="180"/>
      <c r="D154" s="180"/>
      <c r="E154" s="180"/>
      <c r="F154" s="180"/>
      <c r="G154" s="177"/>
      <c r="H154" s="177"/>
      <c r="I154" s="178"/>
      <c r="J154" s="181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79"/>
      <c r="Y154" s="179"/>
    </row>
    <row r="155" spans="1:25">
      <c r="A155" s="180"/>
      <c r="B155" s="180"/>
      <c r="C155" s="180"/>
      <c r="D155" s="180"/>
      <c r="E155" s="180"/>
      <c r="F155" s="180"/>
      <c r="G155" s="177"/>
      <c r="H155" s="177"/>
      <c r="I155" s="178"/>
      <c r="J155" s="181"/>
      <c r="K155" s="180"/>
      <c r="L155" s="180"/>
      <c r="M155" s="180"/>
      <c r="N155" s="180"/>
      <c r="O155" s="180"/>
      <c r="P155" s="180"/>
      <c r="Q155" s="180"/>
      <c r="R155" s="180"/>
      <c r="S155" s="180"/>
      <c r="T155" s="180"/>
      <c r="U155" s="180"/>
      <c r="V155" s="180"/>
      <c r="W155" s="180"/>
      <c r="X155" s="179"/>
      <c r="Y155" s="179"/>
    </row>
    <row r="156" spans="1:25">
      <c r="A156" s="180"/>
      <c r="B156" s="180"/>
      <c r="C156" s="180"/>
      <c r="D156" s="180"/>
      <c r="E156" s="180"/>
      <c r="F156" s="180"/>
      <c r="G156" s="177"/>
      <c r="H156" s="177"/>
      <c r="I156" s="178"/>
      <c r="J156" s="181"/>
      <c r="K156" s="180"/>
      <c r="L156" s="180"/>
      <c r="M156" s="180"/>
      <c r="N156" s="180"/>
      <c r="O156" s="180"/>
      <c r="P156" s="180"/>
      <c r="Q156" s="180"/>
      <c r="R156" s="180"/>
      <c r="S156" s="180"/>
      <c r="T156" s="180"/>
      <c r="U156" s="180"/>
      <c r="V156" s="180"/>
      <c r="W156" s="180"/>
      <c r="X156" s="179"/>
      <c r="Y156" s="179"/>
    </row>
    <row r="157" spans="1:25">
      <c r="A157" s="180"/>
      <c r="B157" s="180"/>
      <c r="C157" s="180"/>
      <c r="D157" s="180"/>
      <c r="E157" s="180"/>
      <c r="F157" s="180"/>
      <c r="G157" s="177"/>
      <c r="H157" s="177"/>
      <c r="I157" s="178"/>
      <c r="J157" s="181"/>
      <c r="K157" s="180"/>
      <c r="L157" s="180"/>
      <c r="M157" s="180"/>
      <c r="N157" s="180"/>
      <c r="O157" s="180"/>
      <c r="P157" s="180"/>
      <c r="Q157" s="180"/>
      <c r="R157" s="180"/>
      <c r="S157" s="180"/>
      <c r="T157" s="180"/>
      <c r="U157" s="180"/>
      <c r="V157" s="180"/>
      <c r="W157" s="180"/>
      <c r="X157" s="179"/>
      <c r="Y157" s="179"/>
    </row>
    <row r="158" spans="1:25">
      <c r="A158" s="180"/>
      <c r="B158" s="180"/>
      <c r="C158" s="180"/>
      <c r="D158" s="180"/>
      <c r="E158" s="180"/>
      <c r="F158" s="180"/>
      <c r="G158" s="177"/>
      <c r="H158" s="177"/>
      <c r="I158" s="178"/>
      <c r="J158" s="181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0"/>
      <c r="V158" s="180"/>
      <c r="W158" s="180"/>
      <c r="X158" s="179"/>
      <c r="Y158" s="179"/>
    </row>
    <row r="159" spans="1:25">
      <c r="A159" s="180"/>
      <c r="B159" s="180"/>
      <c r="C159" s="180"/>
      <c r="D159" s="180"/>
      <c r="E159" s="180"/>
      <c r="F159" s="180"/>
      <c r="G159" s="177"/>
      <c r="H159" s="177"/>
      <c r="I159" s="178"/>
      <c r="J159" s="181"/>
      <c r="K159" s="180"/>
      <c r="L159" s="180"/>
      <c r="M159" s="180"/>
      <c r="N159" s="180"/>
      <c r="O159" s="180"/>
      <c r="P159" s="180"/>
      <c r="Q159" s="180"/>
      <c r="R159" s="180"/>
      <c r="S159" s="180"/>
      <c r="T159" s="180"/>
      <c r="U159" s="180"/>
      <c r="V159" s="180"/>
      <c r="W159" s="180"/>
      <c r="X159" s="179"/>
      <c r="Y159" s="179"/>
    </row>
    <row r="160" spans="1:25">
      <c r="A160" s="180"/>
      <c r="B160" s="180"/>
      <c r="C160" s="180"/>
      <c r="D160" s="180"/>
      <c r="E160" s="180"/>
      <c r="F160" s="180"/>
      <c r="G160" s="177"/>
      <c r="H160" s="177"/>
      <c r="I160" s="178"/>
      <c r="J160" s="181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0"/>
      <c r="V160" s="180"/>
      <c r="W160" s="180"/>
      <c r="X160" s="179"/>
      <c r="Y160" s="179"/>
    </row>
    <row r="161" spans="1:25">
      <c r="A161" s="180"/>
      <c r="B161" s="180"/>
      <c r="C161" s="180"/>
      <c r="D161" s="180"/>
      <c r="E161" s="180"/>
      <c r="F161" s="180"/>
      <c r="G161" s="177"/>
      <c r="H161" s="177"/>
      <c r="I161" s="178"/>
      <c r="J161" s="181"/>
      <c r="K161" s="180"/>
      <c r="L161" s="180"/>
      <c r="M161" s="180"/>
      <c r="N161" s="180"/>
      <c r="O161" s="180"/>
      <c r="P161" s="180"/>
      <c r="Q161" s="180"/>
      <c r="R161" s="180"/>
      <c r="S161" s="180"/>
      <c r="T161" s="180"/>
      <c r="U161" s="180"/>
      <c r="V161" s="180"/>
      <c r="W161" s="180"/>
      <c r="X161" s="179"/>
      <c r="Y161" s="179"/>
    </row>
    <row r="162" spans="1:25">
      <c r="A162" s="180"/>
      <c r="B162" s="180"/>
      <c r="C162" s="180"/>
      <c r="D162" s="180"/>
      <c r="E162" s="180"/>
      <c r="F162" s="180"/>
      <c r="G162" s="177"/>
      <c r="H162" s="177"/>
      <c r="I162" s="178"/>
      <c r="J162" s="181"/>
      <c r="K162" s="180"/>
      <c r="L162" s="180"/>
      <c r="M162" s="180"/>
      <c r="N162" s="180"/>
      <c r="O162" s="180"/>
      <c r="P162" s="180"/>
      <c r="Q162" s="180"/>
      <c r="R162" s="180"/>
      <c r="S162" s="180"/>
      <c r="T162" s="180"/>
      <c r="U162" s="180"/>
      <c r="V162" s="180"/>
      <c r="W162" s="180"/>
      <c r="X162" s="179"/>
      <c r="Y162" s="179"/>
    </row>
    <row r="163" spans="1:25">
      <c r="A163" s="180"/>
      <c r="B163" s="180"/>
      <c r="C163" s="180"/>
      <c r="D163" s="180"/>
      <c r="E163" s="180"/>
      <c r="F163" s="180"/>
      <c r="G163" s="177"/>
      <c r="H163" s="177"/>
      <c r="I163" s="178"/>
      <c r="J163" s="181"/>
      <c r="K163" s="180"/>
      <c r="L163" s="180"/>
      <c r="M163" s="180"/>
      <c r="N163" s="180"/>
      <c r="O163" s="180"/>
      <c r="P163" s="180"/>
      <c r="Q163" s="180"/>
      <c r="R163" s="180"/>
      <c r="S163" s="180"/>
      <c r="T163" s="180"/>
      <c r="U163" s="180"/>
      <c r="V163" s="180"/>
      <c r="W163" s="180"/>
      <c r="X163" s="179"/>
      <c r="Y163" s="179"/>
    </row>
    <row r="164" spans="1:25">
      <c r="A164" s="180"/>
      <c r="B164" s="180"/>
      <c r="C164" s="180"/>
      <c r="D164" s="180"/>
      <c r="E164" s="180"/>
      <c r="F164" s="180"/>
      <c r="G164" s="177"/>
      <c r="H164" s="177"/>
      <c r="I164" s="178"/>
      <c r="J164" s="181"/>
      <c r="K164" s="180"/>
      <c r="L164" s="180"/>
      <c r="M164" s="180"/>
      <c r="N164" s="180"/>
      <c r="O164" s="180"/>
      <c r="P164" s="180"/>
      <c r="Q164" s="180"/>
      <c r="R164" s="180"/>
      <c r="S164" s="180"/>
      <c r="T164" s="180"/>
      <c r="U164" s="180"/>
      <c r="V164" s="180"/>
      <c r="W164" s="180"/>
      <c r="X164" s="179"/>
      <c r="Y164" s="179"/>
    </row>
    <row r="165" spans="1:25">
      <c r="A165" s="180"/>
      <c r="B165" s="180"/>
      <c r="C165" s="180"/>
      <c r="D165" s="180"/>
      <c r="E165" s="180"/>
      <c r="F165" s="180"/>
      <c r="G165" s="177"/>
      <c r="H165" s="177"/>
      <c r="I165" s="178"/>
      <c r="J165" s="181"/>
      <c r="K165" s="180"/>
      <c r="L165" s="180"/>
      <c r="M165" s="180"/>
      <c r="N165" s="180"/>
      <c r="O165" s="180"/>
      <c r="P165" s="180"/>
      <c r="Q165" s="180"/>
      <c r="R165" s="180"/>
      <c r="S165" s="180"/>
      <c r="T165" s="180"/>
      <c r="U165" s="180"/>
      <c r="V165" s="180"/>
      <c r="W165" s="180"/>
      <c r="X165" s="179"/>
      <c r="Y165" s="179"/>
    </row>
    <row r="166" spans="1:25">
      <c r="A166" s="180"/>
      <c r="B166" s="180"/>
      <c r="C166" s="180"/>
      <c r="D166" s="180"/>
      <c r="E166" s="180"/>
      <c r="F166" s="180"/>
      <c r="G166" s="177"/>
      <c r="H166" s="177"/>
      <c r="I166" s="178"/>
      <c r="J166" s="181"/>
      <c r="K166" s="180"/>
      <c r="L166" s="180"/>
      <c r="M166" s="180"/>
      <c r="N166" s="180"/>
      <c r="O166" s="180"/>
      <c r="P166" s="180"/>
      <c r="Q166" s="180"/>
      <c r="R166" s="180"/>
      <c r="S166" s="180"/>
      <c r="T166" s="180"/>
      <c r="U166" s="180"/>
      <c r="V166" s="180"/>
      <c r="W166" s="180"/>
      <c r="X166" s="179"/>
      <c r="Y166" s="179"/>
    </row>
    <row r="167" spans="1:25">
      <c r="A167" s="180"/>
      <c r="B167" s="180"/>
      <c r="C167" s="180"/>
      <c r="D167" s="180"/>
      <c r="E167" s="180"/>
      <c r="F167" s="180"/>
      <c r="G167" s="177"/>
      <c r="H167" s="177"/>
      <c r="I167" s="178"/>
      <c r="J167" s="181"/>
      <c r="K167" s="180"/>
      <c r="L167" s="180"/>
      <c r="M167" s="180"/>
      <c r="N167" s="180"/>
      <c r="O167" s="180"/>
      <c r="P167" s="180"/>
      <c r="Q167" s="180"/>
      <c r="R167" s="180"/>
      <c r="S167" s="180"/>
      <c r="T167" s="180"/>
      <c r="U167" s="180"/>
      <c r="V167" s="180"/>
      <c r="W167" s="180"/>
      <c r="X167" s="179"/>
      <c r="Y167" s="179"/>
    </row>
    <row r="168" spans="1:25">
      <c r="A168" s="180"/>
      <c r="B168" s="180"/>
      <c r="C168" s="180"/>
      <c r="D168" s="180"/>
      <c r="E168" s="180"/>
      <c r="F168" s="180"/>
      <c r="G168" s="177"/>
      <c r="H168" s="177"/>
      <c r="I168" s="178"/>
      <c r="J168" s="181"/>
      <c r="K168" s="180"/>
      <c r="L168" s="180"/>
      <c r="M168" s="180"/>
      <c r="N168" s="180"/>
      <c r="O168" s="180"/>
      <c r="P168" s="180"/>
      <c r="Q168" s="180"/>
      <c r="R168" s="180"/>
      <c r="S168" s="180"/>
      <c r="T168" s="180"/>
      <c r="U168" s="180"/>
      <c r="V168" s="180"/>
      <c r="W168" s="180"/>
      <c r="X168" s="179"/>
      <c r="Y168" s="179"/>
    </row>
    <row r="169" spans="1:25">
      <c r="A169" s="180"/>
      <c r="B169" s="180"/>
      <c r="C169" s="180"/>
      <c r="D169" s="180"/>
      <c r="E169" s="180"/>
      <c r="F169" s="180"/>
      <c r="G169" s="177"/>
      <c r="H169" s="177"/>
      <c r="I169" s="178"/>
      <c r="J169" s="181"/>
      <c r="K169" s="180"/>
      <c r="L169" s="180"/>
      <c r="M169" s="180"/>
      <c r="N169" s="180"/>
      <c r="O169" s="180"/>
      <c r="P169" s="180"/>
      <c r="Q169" s="180"/>
      <c r="R169" s="180"/>
      <c r="S169" s="180"/>
      <c r="T169" s="180"/>
      <c r="U169" s="180"/>
      <c r="V169" s="180"/>
      <c r="W169" s="180"/>
      <c r="X169" s="179"/>
      <c r="Y169" s="179"/>
    </row>
    <row r="170" spans="1:25">
      <c r="A170" s="180"/>
      <c r="B170" s="180"/>
      <c r="C170" s="180"/>
      <c r="D170" s="180"/>
      <c r="E170" s="180"/>
      <c r="F170" s="180"/>
      <c r="G170" s="177"/>
      <c r="H170" s="177"/>
      <c r="I170" s="178"/>
      <c r="J170" s="181"/>
      <c r="K170" s="180"/>
      <c r="L170" s="180"/>
      <c r="M170" s="180"/>
      <c r="N170" s="180"/>
      <c r="O170" s="180"/>
      <c r="P170" s="180"/>
      <c r="Q170" s="180"/>
      <c r="R170" s="180"/>
      <c r="S170" s="180"/>
      <c r="T170" s="180"/>
      <c r="U170" s="180"/>
      <c r="V170" s="180"/>
      <c r="W170" s="180"/>
      <c r="X170" s="179"/>
      <c r="Y170" s="179"/>
    </row>
    <row r="171" spans="1:25">
      <c r="A171" s="180"/>
      <c r="B171" s="180"/>
      <c r="C171" s="180"/>
      <c r="D171" s="180"/>
      <c r="E171" s="180"/>
      <c r="F171" s="180"/>
      <c r="G171" s="177"/>
      <c r="H171" s="177"/>
      <c r="I171" s="178"/>
      <c r="J171" s="181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79"/>
      <c r="Y171" s="179"/>
    </row>
    <row r="172" spans="1:25">
      <c r="A172" s="180"/>
      <c r="B172" s="180"/>
      <c r="C172" s="180"/>
      <c r="D172" s="180"/>
      <c r="E172" s="180"/>
      <c r="F172" s="180"/>
      <c r="G172" s="177"/>
      <c r="H172" s="177"/>
      <c r="I172" s="178"/>
      <c r="J172" s="181"/>
      <c r="K172" s="180"/>
      <c r="L172" s="180"/>
      <c r="M172" s="180"/>
      <c r="N172" s="180"/>
      <c r="O172" s="180"/>
      <c r="P172" s="180"/>
      <c r="Q172" s="180"/>
      <c r="R172" s="180"/>
      <c r="S172" s="180"/>
      <c r="T172" s="180"/>
      <c r="U172" s="180"/>
      <c r="V172" s="180"/>
      <c r="W172" s="180"/>
      <c r="X172" s="179"/>
      <c r="Y172" s="179"/>
    </row>
    <row r="173" spans="1:25">
      <c r="A173" s="180"/>
      <c r="B173" s="180"/>
      <c r="C173" s="180"/>
      <c r="D173" s="180"/>
      <c r="E173" s="180"/>
      <c r="F173" s="180"/>
      <c r="G173" s="177"/>
      <c r="H173" s="177"/>
      <c r="I173" s="178"/>
      <c r="J173" s="181"/>
      <c r="K173" s="180"/>
      <c r="L173" s="180"/>
      <c r="M173" s="180"/>
      <c r="N173" s="180"/>
      <c r="O173" s="180"/>
      <c r="P173" s="180"/>
      <c r="Q173" s="180"/>
      <c r="R173" s="180"/>
      <c r="S173" s="180"/>
      <c r="T173" s="180"/>
      <c r="U173" s="180"/>
      <c r="V173" s="180"/>
      <c r="W173" s="180"/>
      <c r="X173" s="179"/>
      <c r="Y173" s="179"/>
    </row>
    <row r="174" spans="1:25">
      <c r="A174" s="180"/>
      <c r="B174" s="180"/>
      <c r="C174" s="180"/>
      <c r="D174" s="180"/>
      <c r="E174" s="180"/>
      <c r="F174" s="180"/>
      <c r="G174" s="177"/>
      <c r="H174" s="177"/>
      <c r="I174" s="178"/>
      <c r="J174" s="181"/>
      <c r="K174" s="180"/>
      <c r="L174" s="180"/>
      <c r="M174" s="180"/>
      <c r="N174" s="180"/>
      <c r="O174" s="180"/>
      <c r="P174" s="180"/>
      <c r="Q174" s="180"/>
      <c r="R174" s="180"/>
      <c r="S174" s="180"/>
      <c r="T174" s="180"/>
      <c r="U174" s="180"/>
      <c r="V174" s="180"/>
      <c r="W174" s="180"/>
      <c r="X174" s="179"/>
      <c r="Y174" s="179"/>
    </row>
    <row r="175" spans="1:25">
      <c r="A175" s="180"/>
      <c r="B175" s="180"/>
      <c r="C175" s="180"/>
      <c r="D175" s="180"/>
      <c r="E175" s="180"/>
      <c r="F175" s="180"/>
      <c r="G175" s="177"/>
      <c r="H175" s="177"/>
      <c r="I175" s="178"/>
      <c r="J175" s="181"/>
      <c r="K175" s="180"/>
      <c r="L175" s="180"/>
      <c r="M175" s="180"/>
      <c r="N175" s="180"/>
      <c r="O175" s="180"/>
      <c r="P175" s="180"/>
      <c r="Q175" s="180"/>
      <c r="R175" s="180"/>
      <c r="S175" s="180"/>
      <c r="T175" s="180"/>
      <c r="U175" s="180"/>
      <c r="V175" s="180"/>
      <c r="W175" s="180"/>
      <c r="X175" s="179"/>
      <c r="Y175" s="179"/>
    </row>
    <row r="176" spans="1:25">
      <c r="A176" s="180"/>
      <c r="B176" s="180"/>
      <c r="C176" s="180"/>
      <c r="D176" s="180"/>
      <c r="E176" s="180"/>
      <c r="F176" s="180"/>
      <c r="G176" s="177"/>
      <c r="H176" s="177"/>
      <c r="I176" s="178"/>
      <c r="J176" s="181"/>
      <c r="K176" s="180"/>
      <c r="L176" s="180"/>
      <c r="M176" s="180"/>
      <c r="N176" s="180"/>
      <c r="O176" s="180"/>
      <c r="P176" s="180"/>
      <c r="Q176" s="180"/>
      <c r="R176" s="180"/>
      <c r="S176" s="180"/>
      <c r="T176" s="180"/>
      <c r="U176" s="180"/>
      <c r="V176" s="180"/>
      <c r="W176" s="180"/>
      <c r="X176" s="179"/>
      <c r="Y176" s="179"/>
    </row>
    <row r="177" spans="1:25">
      <c r="A177" s="180"/>
      <c r="B177" s="180"/>
      <c r="C177" s="180"/>
      <c r="D177" s="180"/>
      <c r="E177" s="180"/>
      <c r="F177" s="180"/>
      <c r="G177" s="177"/>
      <c r="H177" s="177"/>
      <c r="I177" s="178"/>
      <c r="J177" s="181"/>
      <c r="K177" s="180"/>
      <c r="L177" s="180"/>
      <c r="M177" s="180"/>
      <c r="N177" s="180"/>
      <c r="O177" s="180"/>
      <c r="P177" s="180"/>
      <c r="Q177" s="180"/>
      <c r="R177" s="180"/>
      <c r="S177" s="180"/>
      <c r="T177" s="180"/>
      <c r="U177" s="180"/>
      <c r="V177" s="180"/>
      <c r="W177" s="180"/>
      <c r="X177" s="179"/>
      <c r="Y177" s="179"/>
    </row>
    <row r="178" spans="1:25">
      <c r="A178" s="180"/>
      <c r="B178" s="180"/>
      <c r="C178" s="180"/>
      <c r="D178" s="180"/>
      <c r="E178" s="180"/>
      <c r="F178" s="180"/>
      <c r="G178" s="177"/>
      <c r="H178" s="177"/>
      <c r="I178" s="178"/>
      <c r="J178" s="181"/>
      <c r="K178" s="180"/>
      <c r="L178" s="180"/>
      <c r="M178" s="180"/>
      <c r="N178" s="180"/>
      <c r="O178" s="180"/>
      <c r="P178" s="180"/>
      <c r="Q178" s="180"/>
      <c r="R178" s="180"/>
      <c r="S178" s="180"/>
      <c r="T178" s="180"/>
      <c r="U178" s="180"/>
      <c r="V178" s="180"/>
      <c r="W178" s="180"/>
      <c r="X178" s="179"/>
      <c r="Y178" s="179"/>
    </row>
    <row r="179" spans="1:25">
      <c r="A179" s="180"/>
      <c r="B179" s="180"/>
      <c r="C179" s="180"/>
      <c r="D179" s="180"/>
      <c r="E179" s="180"/>
      <c r="F179" s="180"/>
      <c r="G179" s="177"/>
      <c r="H179" s="177"/>
      <c r="I179" s="178"/>
      <c r="J179" s="181"/>
      <c r="K179" s="180"/>
      <c r="L179" s="180"/>
      <c r="M179" s="180"/>
      <c r="N179" s="180"/>
      <c r="O179" s="180"/>
      <c r="P179" s="180"/>
      <c r="Q179" s="180"/>
      <c r="R179" s="180"/>
      <c r="S179" s="180"/>
      <c r="T179" s="180"/>
      <c r="U179" s="180"/>
      <c r="V179" s="180"/>
      <c r="W179" s="180"/>
      <c r="X179" s="179"/>
      <c r="Y179" s="179"/>
    </row>
    <row r="180" spans="1:25">
      <c r="A180" s="180"/>
      <c r="B180" s="180"/>
      <c r="C180" s="180"/>
      <c r="D180" s="180"/>
      <c r="E180" s="180"/>
      <c r="F180" s="180"/>
      <c r="G180" s="177"/>
      <c r="H180" s="177"/>
      <c r="I180" s="178"/>
      <c r="J180" s="181"/>
      <c r="K180" s="180"/>
      <c r="L180" s="180"/>
      <c r="M180" s="180"/>
      <c r="N180" s="180"/>
      <c r="O180" s="180"/>
      <c r="P180" s="180"/>
      <c r="Q180" s="180"/>
      <c r="R180" s="180"/>
      <c r="S180" s="180"/>
      <c r="T180" s="180"/>
      <c r="U180" s="180"/>
      <c r="V180" s="180"/>
      <c r="W180" s="180"/>
      <c r="X180" s="179"/>
      <c r="Y180" s="179"/>
    </row>
    <row r="181" spans="1:25">
      <c r="A181" s="180"/>
      <c r="B181" s="180"/>
      <c r="C181" s="180"/>
      <c r="D181" s="180"/>
      <c r="E181" s="180"/>
      <c r="F181" s="180"/>
      <c r="G181" s="177"/>
      <c r="H181" s="177"/>
      <c r="I181" s="178"/>
      <c r="J181" s="181"/>
      <c r="K181" s="180"/>
      <c r="L181" s="180"/>
      <c r="M181" s="180"/>
      <c r="N181" s="180"/>
      <c r="O181" s="180"/>
      <c r="P181" s="180"/>
      <c r="Q181" s="180"/>
      <c r="R181" s="180"/>
      <c r="S181" s="180"/>
      <c r="T181" s="180"/>
      <c r="U181" s="180"/>
      <c r="V181" s="180"/>
      <c r="W181" s="180"/>
      <c r="X181" s="179"/>
      <c r="Y181" s="179"/>
    </row>
    <row r="182" spans="1:25">
      <c r="A182" s="180"/>
      <c r="B182" s="180"/>
      <c r="C182" s="180"/>
      <c r="D182" s="180"/>
      <c r="E182" s="180"/>
      <c r="F182" s="180"/>
      <c r="G182" s="177"/>
      <c r="H182" s="177"/>
      <c r="I182" s="178"/>
      <c r="J182" s="181"/>
      <c r="K182" s="180"/>
      <c r="L182" s="180"/>
      <c r="M182" s="180"/>
      <c r="N182" s="180"/>
      <c r="O182" s="180"/>
      <c r="P182" s="180"/>
      <c r="Q182" s="180"/>
      <c r="R182" s="180"/>
      <c r="S182" s="180"/>
      <c r="T182" s="180"/>
      <c r="U182" s="180"/>
      <c r="V182" s="180"/>
      <c r="W182" s="180"/>
      <c r="X182" s="179"/>
      <c r="Y182" s="179"/>
    </row>
    <row r="183" spans="1:25">
      <c r="A183" s="180"/>
      <c r="B183" s="180"/>
      <c r="C183" s="180"/>
      <c r="D183" s="180"/>
      <c r="E183" s="180"/>
      <c r="F183" s="180"/>
      <c r="G183" s="177"/>
      <c r="H183" s="177"/>
      <c r="I183" s="178"/>
      <c r="J183" s="181"/>
      <c r="K183" s="180"/>
      <c r="L183" s="180"/>
      <c r="M183" s="180"/>
      <c r="N183" s="180"/>
      <c r="O183" s="180"/>
      <c r="P183" s="180"/>
      <c r="Q183" s="180"/>
      <c r="R183" s="180"/>
      <c r="S183" s="180"/>
      <c r="T183" s="180"/>
      <c r="U183" s="180"/>
      <c r="V183" s="180"/>
      <c r="W183" s="180"/>
      <c r="X183" s="179"/>
      <c r="Y183" s="179"/>
    </row>
    <row r="184" spans="1:25">
      <c r="A184" s="180"/>
      <c r="B184" s="180"/>
      <c r="C184" s="180"/>
      <c r="D184" s="180"/>
      <c r="E184" s="180"/>
      <c r="F184" s="180"/>
      <c r="G184" s="177"/>
      <c r="H184" s="177"/>
      <c r="I184" s="178"/>
      <c r="J184" s="181"/>
      <c r="K184" s="180"/>
      <c r="L184" s="180"/>
      <c r="M184" s="180"/>
      <c r="N184" s="180"/>
      <c r="O184" s="180"/>
      <c r="P184" s="180"/>
      <c r="Q184" s="180"/>
      <c r="R184" s="180"/>
      <c r="S184" s="180"/>
      <c r="T184" s="180"/>
      <c r="U184" s="180"/>
      <c r="V184" s="180"/>
      <c r="W184" s="180"/>
      <c r="X184" s="179"/>
      <c r="Y184" s="179"/>
    </row>
    <row r="185" spans="1:25">
      <c r="A185" s="180"/>
      <c r="B185" s="180"/>
      <c r="C185" s="180"/>
      <c r="D185" s="180"/>
      <c r="E185" s="180"/>
      <c r="F185" s="180"/>
      <c r="G185" s="177"/>
      <c r="H185" s="177"/>
      <c r="I185" s="178"/>
      <c r="J185" s="181"/>
      <c r="K185" s="180"/>
      <c r="L185" s="180"/>
      <c r="M185" s="180"/>
      <c r="N185" s="180"/>
      <c r="O185" s="180"/>
      <c r="P185" s="180"/>
      <c r="Q185" s="180"/>
      <c r="R185" s="180"/>
      <c r="S185" s="180"/>
      <c r="T185" s="180"/>
      <c r="U185" s="180"/>
      <c r="V185" s="180"/>
      <c r="W185" s="180"/>
      <c r="X185" s="179"/>
      <c r="Y185" s="179"/>
    </row>
    <row r="186" spans="1:25">
      <c r="A186" s="180"/>
      <c r="B186" s="180"/>
      <c r="C186" s="180"/>
      <c r="D186" s="180"/>
      <c r="E186" s="180"/>
      <c r="F186" s="180"/>
      <c r="G186" s="177"/>
      <c r="H186" s="177"/>
      <c r="I186" s="178"/>
      <c r="J186" s="181"/>
      <c r="K186" s="180"/>
      <c r="L186" s="180"/>
      <c r="M186" s="180"/>
      <c r="N186" s="180"/>
      <c r="O186" s="180"/>
      <c r="P186" s="180"/>
      <c r="Q186" s="180"/>
      <c r="R186" s="180"/>
      <c r="S186" s="180"/>
      <c r="T186" s="180"/>
      <c r="U186" s="180"/>
      <c r="V186" s="180"/>
      <c r="W186" s="180"/>
      <c r="X186" s="179"/>
      <c r="Y186" s="179"/>
    </row>
    <row r="187" spans="1:25">
      <c r="A187" s="180"/>
      <c r="B187" s="180"/>
      <c r="C187" s="180"/>
      <c r="D187" s="180"/>
      <c r="E187" s="180"/>
      <c r="F187" s="180"/>
      <c r="G187" s="177"/>
      <c r="H187" s="177"/>
      <c r="I187" s="178"/>
      <c r="J187" s="181"/>
      <c r="K187" s="180"/>
      <c r="L187" s="180"/>
      <c r="M187" s="180"/>
      <c r="N187" s="180"/>
      <c r="O187" s="180"/>
      <c r="P187" s="180"/>
      <c r="Q187" s="180"/>
      <c r="R187" s="180"/>
      <c r="S187" s="180"/>
      <c r="T187" s="180"/>
      <c r="U187" s="180"/>
      <c r="V187" s="180"/>
      <c r="W187" s="180"/>
      <c r="X187" s="179"/>
      <c r="Y187" s="179"/>
    </row>
    <row r="188" spans="1:25">
      <c r="A188" s="180"/>
      <c r="B188" s="180"/>
      <c r="C188" s="180"/>
      <c r="D188" s="180"/>
      <c r="E188" s="180"/>
      <c r="F188" s="180"/>
      <c r="G188" s="177"/>
      <c r="H188" s="177"/>
      <c r="I188" s="178"/>
      <c r="J188" s="181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79"/>
      <c r="Y188" s="179"/>
    </row>
    <row r="189" spans="1:25">
      <c r="A189" s="180"/>
      <c r="B189" s="180"/>
      <c r="C189" s="180"/>
      <c r="D189" s="180"/>
      <c r="E189" s="180"/>
      <c r="F189" s="180"/>
      <c r="G189" s="177"/>
      <c r="H189" s="177"/>
      <c r="I189" s="178"/>
      <c r="J189" s="181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79"/>
      <c r="Y189" s="179"/>
    </row>
    <row r="190" spans="1:25">
      <c r="A190" s="180"/>
      <c r="B190" s="180"/>
      <c r="C190" s="180"/>
      <c r="D190" s="180"/>
      <c r="E190" s="180"/>
      <c r="F190" s="180"/>
      <c r="G190" s="177"/>
      <c r="H190" s="177"/>
      <c r="I190" s="178"/>
      <c r="J190" s="181"/>
      <c r="K190" s="180"/>
      <c r="L190" s="180"/>
      <c r="M190" s="180"/>
      <c r="N190" s="180"/>
      <c r="O190" s="180"/>
      <c r="P190" s="180"/>
      <c r="Q190" s="180"/>
      <c r="R190" s="180"/>
      <c r="S190" s="180"/>
      <c r="T190" s="180"/>
      <c r="U190" s="180"/>
      <c r="V190" s="180"/>
      <c r="W190" s="180"/>
      <c r="X190" s="179"/>
      <c r="Y190" s="179"/>
    </row>
    <row r="191" spans="1:25">
      <c r="A191" s="180"/>
      <c r="B191" s="180"/>
      <c r="C191" s="180"/>
      <c r="D191" s="180"/>
      <c r="E191" s="180"/>
      <c r="F191" s="180"/>
      <c r="G191" s="177"/>
      <c r="H191" s="177"/>
      <c r="I191" s="178"/>
      <c r="J191" s="181"/>
      <c r="K191" s="180"/>
      <c r="L191" s="180"/>
      <c r="M191" s="180"/>
      <c r="N191" s="180"/>
      <c r="O191" s="180"/>
      <c r="P191" s="180"/>
      <c r="Q191" s="180"/>
      <c r="R191" s="180"/>
      <c r="S191" s="180"/>
      <c r="T191" s="180"/>
      <c r="U191" s="180"/>
      <c r="V191" s="180"/>
      <c r="W191" s="180"/>
      <c r="X191" s="179"/>
      <c r="Y191" s="179"/>
    </row>
    <row r="192" spans="1:25">
      <c r="A192" s="180"/>
      <c r="B192" s="180"/>
      <c r="C192" s="180"/>
      <c r="D192" s="180"/>
      <c r="E192" s="180"/>
      <c r="F192" s="180"/>
      <c r="G192" s="177"/>
      <c r="H192" s="177"/>
      <c r="I192" s="178"/>
      <c r="J192" s="181"/>
      <c r="K192" s="180"/>
      <c r="L192" s="180"/>
      <c r="M192" s="180"/>
      <c r="N192" s="180"/>
      <c r="O192" s="180"/>
      <c r="P192" s="180"/>
      <c r="Q192" s="180"/>
      <c r="R192" s="180"/>
      <c r="S192" s="180"/>
      <c r="T192" s="180"/>
      <c r="U192" s="180"/>
      <c r="V192" s="180"/>
      <c r="W192" s="180"/>
      <c r="X192" s="179"/>
      <c r="Y192" s="179"/>
    </row>
    <row r="193" spans="1:25">
      <c r="A193" s="180"/>
      <c r="B193" s="180"/>
      <c r="C193" s="180"/>
      <c r="D193" s="180"/>
      <c r="E193" s="180"/>
      <c r="F193" s="180"/>
      <c r="G193" s="177"/>
      <c r="H193" s="177"/>
      <c r="I193" s="178"/>
      <c r="J193" s="181"/>
      <c r="K193" s="180"/>
      <c r="L193" s="180"/>
      <c r="M193" s="180"/>
      <c r="N193" s="180"/>
      <c r="O193" s="180"/>
      <c r="P193" s="180"/>
      <c r="Q193" s="180"/>
      <c r="R193" s="180"/>
      <c r="S193" s="180"/>
      <c r="T193" s="180"/>
      <c r="U193" s="180"/>
      <c r="V193" s="180"/>
      <c r="W193" s="180"/>
      <c r="X193" s="179"/>
      <c r="Y193" s="179"/>
    </row>
    <row r="194" spans="1:25">
      <c r="A194" s="180"/>
      <c r="B194" s="180"/>
      <c r="C194" s="180"/>
      <c r="D194" s="180"/>
      <c r="E194" s="180"/>
      <c r="F194" s="180"/>
      <c r="G194" s="177"/>
      <c r="H194" s="177"/>
      <c r="I194" s="178"/>
      <c r="J194" s="181"/>
      <c r="K194" s="180"/>
      <c r="L194" s="180"/>
      <c r="M194" s="180"/>
      <c r="N194" s="180"/>
      <c r="O194" s="180"/>
      <c r="P194" s="180"/>
      <c r="Q194" s="180"/>
      <c r="R194" s="180"/>
      <c r="S194" s="180"/>
      <c r="T194" s="180"/>
      <c r="U194" s="180"/>
      <c r="V194" s="180"/>
      <c r="W194" s="180"/>
      <c r="X194" s="179"/>
      <c r="Y194" s="179"/>
    </row>
    <row r="195" spans="1:25">
      <c r="A195" s="180"/>
      <c r="B195" s="180"/>
      <c r="C195" s="180"/>
      <c r="D195" s="180"/>
      <c r="E195" s="180"/>
      <c r="F195" s="180"/>
      <c r="G195" s="177"/>
      <c r="H195" s="177"/>
      <c r="I195" s="178"/>
      <c r="J195" s="181"/>
      <c r="K195" s="180"/>
      <c r="L195" s="180"/>
      <c r="M195" s="180"/>
      <c r="N195" s="180"/>
      <c r="O195" s="180"/>
      <c r="P195" s="180"/>
      <c r="Q195" s="180"/>
      <c r="R195" s="180"/>
      <c r="S195" s="180"/>
      <c r="T195" s="180"/>
      <c r="U195" s="180"/>
      <c r="V195" s="180"/>
      <c r="W195" s="180"/>
      <c r="X195" s="179"/>
      <c r="Y195" s="179"/>
    </row>
    <row r="196" spans="1:25">
      <c r="A196" s="180"/>
      <c r="B196" s="180"/>
      <c r="C196" s="180"/>
      <c r="D196" s="180"/>
      <c r="E196" s="180"/>
      <c r="F196" s="180"/>
      <c r="G196" s="177"/>
      <c r="H196" s="177"/>
      <c r="I196" s="178"/>
      <c r="J196" s="181"/>
      <c r="K196" s="180"/>
      <c r="L196" s="180"/>
      <c r="M196" s="180"/>
      <c r="N196" s="180"/>
      <c r="O196" s="180"/>
      <c r="P196" s="180"/>
      <c r="Q196" s="180"/>
      <c r="R196" s="180"/>
      <c r="S196" s="180"/>
      <c r="T196" s="180"/>
      <c r="U196" s="180"/>
      <c r="V196" s="180"/>
      <c r="W196" s="180"/>
      <c r="X196" s="179"/>
      <c r="Y196" s="179"/>
    </row>
    <row r="197" spans="1:25">
      <c r="A197" s="180"/>
      <c r="B197" s="180"/>
      <c r="C197" s="180"/>
      <c r="D197" s="180"/>
      <c r="E197" s="180"/>
      <c r="F197" s="180"/>
      <c r="G197" s="177"/>
      <c r="H197" s="177"/>
      <c r="I197" s="178"/>
      <c r="J197" s="181"/>
      <c r="K197" s="180"/>
      <c r="L197" s="180"/>
      <c r="M197" s="180"/>
      <c r="N197" s="180"/>
      <c r="O197" s="180"/>
      <c r="P197" s="180"/>
      <c r="Q197" s="180"/>
      <c r="R197" s="180"/>
      <c r="S197" s="180"/>
      <c r="T197" s="180"/>
      <c r="U197" s="180"/>
      <c r="V197" s="180"/>
      <c r="W197" s="180"/>
      <c r="X197" s="179"/>
      <c r="Y197" s="179"/>
    </row>
    <row r="198" spans="1:25">
      <c r="A198" s="180"/>
      <c r="B198" s="180"/>
      <c r="C198" s="180"/>
      <c r="D198" s="180"/>
      <c r="E198" s="180"/>
      <c r="F198" s="180"/>
      <c r="G198" s="177"/>
      <c r="H198" s="177"/>
      <c r="I198" s="178"/>
      <c r="J198" s="181"/>
      <c r="K198" s="180"/>
      <c r="L198" s="180"/>
      <c r="M198" s="180"/>
      <c r="N198" s="180"/>
      <c r="O198" s="180"/>
      <c r="P198" s="180"/>
      <c r="Q198" s="180"/>
      <c r="R198" s="180"/>
      <c r="S198" s="180"/>
      <c r="T198" s="180"/>
      <c r="U198" s="180"/>
      <c r="V198" s="180"/>
      <c r="W198" s="180"/>
      <c r="X198" s="179"/>
      <c r="Y198" s="179"/>
    </row>
    <row r="199" spans="1:25">
      <c r="A199" s="180"/>
      <c r="B199" s="180"/>
      <c r="C199" s="180"/>
      <c r="D199" s="180"/>
      <c r="E199" s="180"/>
      <c r="F199" s="180"/>
      <c r="G199" s="177"/>
      <c r="H199" s="177"/>
      <c r="I199" s="178"/>
      <c r="J199" s="181"/>
      <c r="K199" s="180"/>
      <c r="L199" s="180"/>
      <c r="M199" s="180"/>
      <c r="N199" s="180"/>
      <c r="O199" s="180"/>
      <c r="P199" s="180"/>
      <c r="Q199" s="180"/>
      <c r="R199" s="180"/>
      <c r="S199" s="180"/>
      <c r="T199" s="180"/>
      <c r="U199" s="180"/>
      <c r="V199" s="180"/>
      <c r="W199" s="180"/>
      <c r="X199" s="179"/>
      <c r="Y199" s="179"/>
    </row>
    <row r="200" spans="1:25">
      <c r="A200" s="180"/>
      <c r="B200" s="180"/>
      <c r="C200" s="180"/>
      <c r="D200" s="180"/>
      <c r="E200" s="180"/>
      <c r="F200" s="180"/>
      <c r="G200" s="177"/>
      <c r="H200" s="177"/>
      <c r="I200" s="178"/>
      <c r="J200" s="181"/>
      <c r="K200" s="180"/>
      <c r="L200" s="180"/>
      <c r="M200" s="180"/>
      <c r="N200" s="180"/>
      <c r="O200" s="180"/>
      <c r="P200" s="180"/>
      <c r="Q200" s="180"/>
      <c r="R200" s="180"/>
      <c r="S200" s="180"/>
      <c r="T200" s="180"/>
      <c r="U200" s="180"/>
      <c r="V200" s="180"/>
      <c r="W200" s="180"/>
      <c r="X200" s="179"/>
      <c r="Y200" s="179"/>
    </row>
    <row r="201" spans="1:25">
      <c r="A201" s="180"/>
      <c r="B201" s="180"/>
      <c r="C201" s="180"/>
      <c r="D201" s="180"/>
      <c r="E201" s="180"/>
      <c r="F201" s="180"/>
      <c r="G201" s="177"/>
      <c r="H201" s="177"/>
      <c r="I201" s="178"/>
      <c r="J201" s="181"/>
      <c r="K201" s="180"/>
      <c r="L201" s="180"/>
      <c r="M201" s="180"/>
      <c r="N201" s="180"/>
      <c r="O201" s="180"/>
      <c r="P201" s="180"/>
      <c r="Q201" s="180"/>
      <c r="R201" s="180"/>
      <c r="S201" s="180"/>
      <c r="T201" s="180"/>
      <c r="U201" s="180"/>
      <c r="V201" s="180"/>
      <c r="W201" s="180"/>
      <c r="X201" s="179"/>
      <c r="Y201" s="179"/>
    </row>
    <row r="202" spans="1:25">
      <c r="A202" s="180"/>
      <c r="B202" s="180"/>
      <c r="C202" s="180"/>
      <c r="D202" s="180"/>
      <c r="E202" s="180"/>
      <c r="F202" s="180"/>
      <c r="G202" s="177"/>
      <c r="H202" s="177"/>
      <c r="I202" s="178"/>
      <c r="J202" s="181"/>
      <c r="K202" s="180"/>
      <c r="L202" s="180"/>
      <c r="M202" s="180"/>
      <c r="N202" s="180"/>
      <c r="O202" s="180"/>
      <c r="P202" s="180"/>
      <c r="Q202" s="180"/>
      <c r="R202" s="180"/>
      <c r="S202" s="180"/>
      <c r="T202" s="180"/>
      <c r="U202" s="180"/>
      <c r="V202" s="180"/>
      <c r="W202" s="180"/>
      <c r="X202" s="179"/>
      <c r="Y202" s="179"/>
    </row>
    <row r="203" spans="1:25">
      <c r="A203" s="180"/>
      <c r="B203" s="180"/>
      <c r="C203" s="180"/>
      <c r="D203" s="180"/>
      <c r="E203" s="180"/>
      <c r="F203" s="180"/>
      <c r="G203" s="177"/>
      <c r="H203" s="177"/>
      <c r="I203" s="178"/>
      <c r="J203" s="181"/>
      <c r="K203" s="180"/>
      <c r="L203" s="180"/>
      <c r="M203" s="180"/>
      <c r="N203" s="180"/>
      <c r="O203" s="180"/>
      <c r="P203" s="180"/>
      <c r="Q203" s="180"/>
      <c r="R203" s="180"/>
      <c r="S203" s="180"/>
      <c r="T203" s="180"/>
      <c r="U203" s="180"/>
      <c r="V203" s="180"/>
      <c r="W203" s="180"/>
      <c r="X203" s="179"/>
      <c r="Y203" s="179"/>
    </row>
    <row r="204" spans="1:25">
      <c r="A204" s="180"/>
      <c r="B204" s="180"/>
      <c r="C204" s="180"/>
      <c r="D204" s="180"/>
      <c r="E204" s="180"/>
      <c r="F204" s="180"/>
      <c r="G204" s="177"/>
      <c r="H204" s="177"/>
      <c r="I204" s="178"/>
      <c r="J204" s="181"/>
      <c r="K204" s="180"/>
      <c r="L204" s="180"/>
      <c r="M204" s="180"/>
      <c r="N204" s="180"/>
      <c r="O204" s="180"/>
      <c r="P204" s="180"/>
      <c r="Q204" s="180"/>
      <c r="R204" s="180"/>
      <c r="S204" s="180"/>
      <c r="T204" s="180"/>
      <c r="U204" s="180"/>
      <c r="V204" s="180"/>
      <c r="W204" s="180"/>
      <c r="X204" s="179"/>
      <c r="Y204" s="179"/>
    </row>
    <row r="205" spans="1:25">
      <c r="A205" s="180"/>
      <c r="B205" s="180"/>
      <c r="C205" s="180"/>
      <c r="D205" s="180"/>
      <c r="E205" s="180"/>
      <c r="F205" s="180"/>
      <c r="G205" s="177"/>
      <c r="H205" s="177"/>
      <c r="I205" s="178"/>
      <c r="J205" s="181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79"/>
      <c r="Y205" s="179"/>
    </row>
    <row r="206" spans="1:25">
      <c r="A206" s="180"/>
      <c r="B206" s="180"/>
      <c r="C206" s="180"/>
      <c r="D206" s="180"/>
      <c r="E206" s="180"/>
      <c r="F206" s="180"/>
      <c r="G206" s="177"/>
      <c r="H206" s="177"/>
      <c r="I206" s="178"/>
      <c r="J206" s="181"/>
      <c r="K206" s="180"/>
      <c r="L206" s="180"/>
      <c r="M206" s="180"/>
      <c r="N206" s="180"/>
      <c r="O206" s="180"/>
      <c r="P206" s="180"/>
      <c r="Q206" s="180"/>
      <c r="R206" s="180"/>
      <c r="S206" s="180"/>
      <c r="T206" s="180"/>
      <c r="U206" s="180"/>
      <c r="V206" s="180"/>
      <c r="W206" s="180"/>
      <c r="X206" s="179"/>
      <c r="Y206" s="179"/>
    </row>
    <row r="207" spans="1:25">
      <c r="A207" s="180"/>
      <c r="B207" s="180"/>
      <c r="C207" s="180"/>
      <c r="D207" s="180"/>
      <c r="E207" s="180"/>
      <c r="F207" s="180"/>
      <c r="G207" s="177"/>
      <c r="H207" s="177"/>
      <c r="I207" s="178"/>
      <c r="J207" s="181"/>
      <c r="K207" s="180"/>
      <c r="L207" s="180"/>
      <c r="M207" s="180"/>
      <c r="N207" s="180"/>
      <c r="O207" s="180"/>
      <c r="P207" s="180"/>
      <c r="Q207" s="180"/>
      <c r="R207" s="180"/>
      <c r="S207" s="180"/>
      <c r="T207" s="180"/>
      <c r="U207" s="180"/>
      <c r="V207" s="180"/>
      <c r="W207" s="180"/>
      <c r="X207" s="179"/>
      <c r="Y207" s="179"/>
    </row>
    <row r="208" spans="1:25">
      <c r="A208" s="180"/>
      <c r="B208" s="180"/>
      <c r="C208" s="180"/>
      <c r="D208" s="180"/>
      <c r="E208" s="180"/>
      <c r="F208" s="180"/>
      <c r="G208" s="177"/>
      <c r="H208" s="177"/>
      <c r="I208" s="178"/>
      <c r="J208" s="181"/>
      <c r="K208" s="180"/>
      <c r="L208" s="180"/>
      <c r="M208" s="180"/>
      <c r="N208" s="180"/>
      <c r="O208" s="180"/>
      <c r="P208" s="180"/>
      <c r="Q208" s="180"/>
      <c r="R208" s="180"/>
      <c r="S208" s="180"/>
      <c r="T208" s="180"/>
      <c r="U208" s="180"/>
      <c r="V208" s="180"/>
      <c r="W208" s="180"/>
      <c r="X208" s="179"/>
      <c r="Y208" s="179"/>
    </row>
    <row r="209" spans="1:25">
      <c r="A209" s="180"/>
      <c r="B209" s="180"/>
      <c r="C209" s="180"/>
      <c r="D209" s="180"/>
      <c r="E209" s="180"/>
      <c r="F209" s="180"/>
      <c r="G209" s="177"/>
      <c r="H209" s="177"/>
      <c r="I209" s="178"/>
      <c r="J209" s="181"/>
      <c r="K209" s="180"/>
      <c r="L209" s="180"/>
      <c r="M209" s="180"/>
      <c r="N209" s="180"/>
      <c r="O209" s="180"/>
      <c r="P209" s="180"/>
      <c r="Q209" s="180"/>
      <c r="R209" s="180"/>
      <c r="S209" s="180"/>
      <c r="T209" s="180"/>
      <c r="U209" s="180"/>
      <c r="V209" s="180"/>
      <c r="W209" s="180"/>
      <c r="X209" s="179"/>
      <c r="Y209" s="179"/>
    </row>
    <row r="210" spans="1:25">
      <c r="A210" s="180"/>
      <c r="B210" s="180"/>
      <c r="C210" s="180"/>
      <c r="D210" s="180"/>
      <c r="E210" s="180"/>
      <c r="F210" s="180"/>
      <c r="G210" s="177"/>
      <c r="H210" s="177"/>
      <c r="I210" s="178"/>
      <c r="J210" s="181"/>
      <c r="K210" s="180"/>
      <c r="L210" s="180"/>
      <c r="M210" s="180"/>
      <c r="N210" s="180"/>
      <c r="O210" s="180"/>
      <c r="P210" s="180"/>
      <c r="Q210" s="180"/>
      <c r="R210" s="180"/>
      <c r="S210" s="180"/>
      <c r="T210" s="180"/>
      <c r="U210" s="180"/>
      <c r="V210" s="180"/>
      <c r="W210" s="180"/>
      <c r="X210" s="179"/>
      <c r="Y210" s="179"/>
    </row>
    <row r="211" spans="1:25">
      <c r="A211" s="180"/>
      <c r="B211" s="180"/>
      <c r="C211" s="180"/>
      <c r="D211" s="180"/>
      <c r="E211" s="180"/>
      <c r="F211" s="180"/>
      <c r="G211" s="177"/>
      <c r="H211" s="177"/>
      <c r="I211" s="178"/>
      <c r="J211" s="181"/>
      <c r="K211" s="180"/>
      <c r="L211" s="180"/>
      <c r="M211" s="180"/>
      <c r="N211" s="180"/>
      <c r="O211" s="180"/>
      <c r="P211" s="180"/>
      <c r="Q211" s="180"/>
      <c r="R211" s="180"/>
      <c r="S211" s="180"/>
      <c r="T211" s="180"/>
      <c r="U211" s="180"/>
      <c r="V211" s="180"/>
      <c r="W211" s="180"/>
      <c r="X211" s="179"/>
      <c r="Y211" s="179"/>
    </row>
    <row r="212" spans="1:25">
      <c r="A212" s="180"/>
      <c r="B212" s="180"/>
      <c r="C212" s="180"/>
      <c r="D212" s="180"/>
      <c r="E212" s="180"/>
      <c r="F212" s="180"/>
      <c r="G212" s="177"/>
      <c r="H212" s="177"/>
      <c r="I212" s="178"/>
      <c r="J212" s="181"/>
      <c r="K212" s="180"/>
      <c r="L212" s="180"/>
      <c r="M212" s="180"/>
      <c r="N212" s="180"/>
      <c r="O212" s="180"/>
      <c r="P212" s="180"/>
      <c r="Q212" s="180"/>
      <c r="R212" s="180"/>
      <c r="S212" s="180"/>
      <c r="T212" s="180"/>
      <c r="U212" s="180"/>
      <c r="V212" s="180"/>
      <c r="W212" s="180"/>
      <c r="X212" s="179"/>
      <c r="Y212" s="179"/>
    </row>
    <row r="213" spans="1:25">
      <c r="A213" s="180"/>
      <c r="B213" s="180"/>
      <c r="C213" s="180"/>
      <c r="D213" s="180"/>
      <c r="E213" s="180"/>
      <c r="F213" s="180"/>
      <c r="G213" s="177"/>
      <c r="H213" s="177"/>
      <c r="I213" s="178"/>
      <c r="J213" s="181"/>
      <c r="K213" s="180"/>
      <c r="L213" s="180"/>
      <c r="M213" s="180"/>
      <c r="N213" s="180"/>
      <c r="O213" s="180"/>
      <c r="P213" s="180"/>
      <c r="Q213" s="180"/>
      <c r="R213" s="180"/>
      <c r="S213" s="180"/>
      <c r="T213" s="180"/>
      <c r="U213" s="180"/>
      <c r="V213" s="180"/>
      <c r="W213" s="180"/>
      <c r="X213" s="179"/>
      <c r="Y213" s="179"/>
    </row>
    <row r="214" spans="1:25">
      <c r="A214" s="180"/>
      <c r="B214" s="180"/>
      <c r="C214" s="180"/>
      <c r="D214" s="180"/>
      <c r="E214" s="180"/>
      <c r="F214" s="180"/>
      <c r="G214" s="177"/>
      <c r="H214" s="177"/>
      <c r="I214" s="178"/>
      <c r="J214" s="181"/>
      <c r="K214" s="180"/>
      <c r="L214" s="180"/>
      <c r="M214" s="180"/>
      <c r="N214" s="180"/>
      <c r="O214" s="180"/>
      <c r="P214" s="180"/>
      <c r="Q214" s="180"/>
      <c r="R214" s="180"/>
      <c r="S214" s="180"/>
      <c r="T214" s="180"/>
      <c r="U214" s="180"/>
      <c r="V214" s="180"/>
      <c r="W214" s="180"/>
      <c r="X214" s="179"/>
      <c r="Y214" s="179"/>
    </row>
    <row r="215" spans="1:25">
      <c r="A215" s="180"/>
      <c r="B215" s="180"/>
      <c r="C215" s="180"/>
      <c r="D215" s="180"/>
      <c r="E215" s="180"/>
      <c r="F215" s="180"/>
      <c r="G215" s="177"/>
      <c r="H215" s="177"/>
      <c r="I215" s="178"/>
      <c r="J215" s="181"/>
      <c r="K215" s="180"/>
      <c r="L215" s="180"/>
      <c r="M215" s="180"/>
      <c r="N215" s="180"/>
      <c r="O215" s="180"/>
      <c r="P215" s="180"/>
      <c r="Q215" s="180"/>
      <c r="R215" s="180"/>
      <c r="S215" s="180"/>
      <c r="T215" s="180"/>
      <c r="U215" s="180"/>
      <c r="V215" s="180"/>
      <c r="W215" s="180"/>
      <c r="X215" s="179"/>
      <c r="Y215" s="179"/>
    </row>
    <row r="216" spans="1:25">
      <c r="A216" s="180"/>
      <c r="B216" s="180"/>
      <c r="C216" s="180"/>
      <c r="D216" s="180"/>
      <c r="E216" s="180"/>
      <c r="F216" s="180"/>
      <c r="G216" s="177"/>
      <c r="H216" s="177"/>
      <c r="I216" s="178"/>
      <c r="J216" s="181"/>
      <c r="K216" s="180"/>
      <c r="L216" s="180"/>
      <c r="M216" s="180"/>
      <c r="N216" s="180"/>
      <c r="O216" s="180"/>
      <c r="P216" s="180"/>
      <c r="Q216" s="180"/>
      <c r="R216" s="180"/>
      <c r="S216" s="180"/>
      <c r="T216" s="180"/>
      <c r="U216" s="180"/>
      <c r="V216" s="180"/>
      <c r="W216" s="180"/>
      <c r="X216" s="179"/>
      <c r="Y216" s="179"/>
    </row>
    <row r="217" spans="1:25">
      <c r="A217" s="180"/>
      <c r="B217" s="180"/>
      <c r="C217" s="180"/>
      <c r="D217" s="180"/>
      <c r="E217" s="180"/>
      <c r="F217" s="180"/>
      <c r="G217" s="177"/>
      <c r="H217" s="177"/>
      <c r="I217" s="178"/>
      <c r="J217" s="181"/>
      <c r="K217" s="180"/>
      <c r="L217" s="180"/>
      <c r="M217" s="180"/>
      <c r="N217" s="180"/>
      <c r="O217" s="180"/>
      <c r="P217" s="180"/>
      <c r="Q217" s="180"/>
      <c r="R217" s="180"/>
      <c r="S217" s="180"/>
      <c r="T217" s="180"/>
      <c r="U217" s="180"/>
      <c r="V217" s="180"/>
      <c r="W217" s="180"/>
      <c r="X217" s="179"/>
      <c r="Y217" s="179"/>
    </row>
    <row r="218" spans="1:25">
      <c r="A218" s="180"/>
      <c r="B218" s="180"/>
      <c r="C218" s="180"/>
      <c r="D218" s="180"/>
      <c r="E218" s="180"/>
      <c r="F218" s="180"/>
      <c r="G218" s="177"/>
      <c r="H218" s="177"/>
      <c r="I218" s="178"/>
      <c r="J218" s="181"/>
      <c r="K218" s="180"/>
      <c r="L218" s="180"/>
      <c r="M218" s="180"/>
      <c r="N218" s="180"/>
      <c r="O218" s="180"/>
      <c r="P218" s="180"/>
      <c r="Q218" s="180"/>
      <c r="R218" s="180"/>
      <c r="S218" s="180"/>
      <c r="T218" s="180"/>
      <c r="U218" s="180"/>
      <c r="V218" s="180"/>
      <c r="W218" s="180"/>
      <c r="X218" s="179"/>
      <c r="Y218" s="179"/>
    </row>
    <row r="219" spans="1:25">
      <c r="A219" s="180"/>
      <c r="B219" s="180"/>
      <c r="C219" s="180"/>
      <c r="D219" s="180"/>
      <c r="E219" s="180"/>
      <c r="F219" s="180"/>
      <c r="G219" s="177"/>
      <c r="H219" s="177"/>
      <c r="I219" s="178"/>
      <c r="J219" s="181"/>
      <c r="K219" s="180"/>
      <c r="L219" s="180"/>
      <c r="M219" s="180"/>
      <c r="N219" s="180"/>
      <c r="O219" s="180"/>
      <c r="P219" s="180"/>
      <c r="Q219" s="180"/>
      <c r="R219" s="180"/>
      <c r="S219" s="180"/>
      <c r="T219" s="180"/>
      <c r="U219" s="180"/>
      <c r="V219" s="180"/>
      <c r="W219" s="180"/>
      <c r="X219" s="179"/>
      <c r="Y219" s="179"/>
    </row>
    <row r="220" spans="1:25">
      <c r="A220" s="180"/>
      <c r="B220" s="180"/>
      <c r="C220" s="180"/>
      <c r="D220" s="180"/>
      <c r="E220" s="180"/>
      <c r="F220" s="180"/>
      <c r="G220" s="177"/>
      <c r="H220" s="177"/>
      <c r="I220" s="178"/>
      <c r="J220" s="181"/>
      <c r="K220" s="180"/>
      <c r="L220" s="180"/>
      <c r="M220" s="180"/>
      <c r="N220" s="180"/>
      <c r="O220" s="180"/>
      <c r="P220" s="180"/>
      <c r="Q220" s="180"/>
      <c r="R220" s="180"/>
      <c r="S220" s="180"/>
      <c r="T220" s="180"/>
      <c r="U220" s="180"/>
      <c r="V220" s="180"/>
      <c r="W220" s="180"/>
      <c r="X220" s="179"/>
      <c r="Y220" s="179"/>
    </row>
    <row r="221" spans="1:25">
      <c r="A221" s="180"/>
      <c r="B221" s="180"/>
      <c r="C221" s="180"/>
      <c r="D221" s="180"/>
      <c r="E221" s="180"/>
      <c r="F221" s="180"/>
      <c r="G221" s="177"/>
      <c r="H221" s="177"/>
      <c r="I221" s="178"/>
      <c r="J221" s="181"/>
      <c r="K221" s="180"/>
      <c r="L221" s="180"/>
      <c r="M221" s="180"/>
      <c r="N221" s="180"/>
      <c r="O221" s="180"/>
      <c r="P221" s="180"/>
      <c r="Q221" s="180"/>
      <c r="R221" s="180"/>
      <c r="S221" s="180"/>
      <c r="T221" s="180"/>
      <c r="U221" s="180"/>
      <c r="V221" s="180"/>
      <c r="W221" s="180"/>
      <c r="X221" s="179"/>
      <c r="Y221" s="179"/>
    </row>
    <row r="222" spans="1:25">
      <c r="A222" s="180"/>
      <c r="B222" s="180"/>
      <c r="C222" s="180"/>
      <c r="D222" s="180"/>
      <c r="E222" s="180"/>
      <c r="F222" s="180"/>
      <c r="G222" s="177"/>
      <c r="H222" s="177"/>
      <c r="I222" s="178"/>
      <c r="J222" s="181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79"/>
      <c r="Y222" s="179"/>
    </row>
    <row r="223" spans="1:25">
      <c r="A223" s="180"/>
      <c r="B223" s="180"/>
      <c r="C223" s="180"/>
      <c r="D223" s="180"/>
      <c r="E223" s="180"/>
      <c r="F223" s="180"/>
      <c r="G223" s="177"/>
      <c r="H223" s="177"/>
      <c r="I223" s="178"/>
      <c r="J223" s="181"/>
      <c r="K223" s="180"/>
      <c r="L223" s="180"/>
      <c r="M223" s="180"/>
      <c r="N223" s="180"/>
      <c r="O223" s="180"/>
      <c r="P223" s="180"/>
      <c r="Q223" s="180"/>
      <c r="R223" s="180"/>
      <c r="S223" s="180"/>
      <c r="T223" s="180"/>
      <c r="U223" s="180"/>
      <c r="V223" s="180"/>
      <c r="W223" s="180"/>
      <c r="X223" s="179"/>
      <c r="Y223" s="179"/>
    </row>
    <row r="224" spans="1:25">
      <c r="A224" s="180"/>
      <c r="B224" s="180"/>
      <c r="C224" s="180"/>
      <c r="D224" s="180"/>
      <c r="E224" s="180"/>
      <c r="F224" s="180"/>
      <c r="G224" s="177"/>
      <c r="H224" s="177"/>
      <c r="I224" s="178"/>
      <c r="J224" s="181"/>
      <c r="K224" s="180"/>
      <c r="L224" s="180"/>
      <c r="M224" s="180"/>
      <c r="N224" s="180"/>
      <c r="O224" s="180"/>
      <c r="P224" s="180"/>
      <c r="Q224" s="180"/>
      <c r="R224" s="180"/>
      <c r="S224" s="180"/>
      <c r="T224" s="180"/>
      <c r="U224" s="180"/>
      <c r="V224" s="180"/>
      <c r="W224" s="180"/>
      <c r="X224" s="179"/>
      <c r="Y224" s="179"/>
    </row>
    <row r="225" spans="1:25">
      <c r="A225" s="180"/>
      <c r="B225" s="180"/>
      <c r="C225" s="180"/>
      <c r="D225" s="180"/>
      <c r="E225" s="180"/>
      <c r="F225" s="180"/>
      <c r="G225" s="177"/>
      <c r="H225" s="177"/>
      <c r="I225" s="178"/>
      <c r="J225" s="181"/>
      <c r="K225" s="180"/>
      <c r="L225" s="180"/>
      <c r="M225" s="180"/>
      <c r="N225" s="180"/>
      <c r="O225" s="180"/>
      <c r="P225" s="180"/>
      <c r="Q225" s="180"/>
      <c r="R225" s="180"/>
      <c r="S225" s="180"/>
      <c r="T225" s="180"/>
      <c r="U225" s="180"/>
      <c r="V225" s="180"/>
      <c r="W225" s="180"/>
      <c r="X225" s="179"/>
      <c r="Y225" s="179"/>
    </row>
    <row r="226" spans="1:25">
      <c r="A226" s="180"/>
      <c r="B226" s="180"/>
      <c r="C226" s="180"/>
      <c r="D226" s="180"/>
      <c r="E226" s="180"/>
      <c r="F226" s="180"/>
      <c r="G226" s="177"/>
      <c r="H226" s="177"/>
      <c r="I226" s="178"/>
      <c r="J226" s="181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79"/>
      <c r="Y226" s="179"/>
    </row>
    <row r="227" spans="1:25">
      <c r="A227" s="180"/>
      <c r="B227" s="180"/>
      <c r="C227" s="180"/>
      <c r="D227" s="180"/>
      <c r="E227" s="180"/>
      <c r="F227" s="180"/>
      <c r="G227" s="177"/>
      <c r="H227" s="177"/>
      <c r="I227" s="178"/>
      <c r="J227" s="181"/>
      <c r="K227" s="180"/>
      <c r="L227" s="180"/>
      <c r="M227" s="180"/>
      <c r="N227" s="180"/>
      <c r="O227" s="180"/>
      <c r="P227" s="180"/>
      <c r="Q227" s="180"/>
      <c r="R227" s="180"/>
      <c r="S227" s="180"/>
      <c r="T227" s="180"/>
      <c r="U227" s="180"/>
      <c r="V227" s="180"/>
      <c r="W227" s="180"/>
      <c r="X227" s="179"/>
      <c r="Y227" s="179"/>
    </row>
    <row r="228" spans="1:25">
      <c r="A228" s="180"/>
      <c r="B228" s="180"/>
      <c r="C228" s="180"/>
      <c r="D228" s="180"/>
      <c r="E228" s="180"/>
      <c r="F228" s="180"/>
      <c r="G228" s="177"/>
      <c r="H228" s="177"/>
      <c r="I228" s="178"/>
      <c r="J228" s="181"/>
      <c r="K228" s="180"/>
      <c r="L228" s="180"/>
      <c r="M228" s="180"/>
      <c r="N228" s="180"/>
      <c r="O228" s="180"/>
      <c r="P228" s="180"/>
      <c r="Q228" s="180"/>
      <c r="R228" s="180"/>
      <c r="S228" s="180"/>
      <c r="T228" s="180"/>
      <c r="U228" s="180"/>
      <c r="V228" s="180"/>
      <c r="W228" s="180"/>
      <c r="X228" s="179"/>
      <c r="Y228" s="179"/>
    </row>
    <row r="229" spans="1:25">
      <c r="A229" s="180"/>
      <c r="B229" s="180"/>
      <c r="C229" s="180"/>
      <c r="D229" s="180"/>
      <c r="E229" s="180"/>
      <c r="F229" s="180"/>
      <c r="G229" s="177"/>
      <c r="H229" s="177"/>
      <c r="I229" s="178"/>
      <c r="J229" s="181"/>
      <c r="K229" s="180"/>
      <c r="L229" s="180"/>
      <c r="M229" s="180"/>
      <c r="N229" s="180"/>
      <c r="O229" s="180"/>
      <c r="P229" s="180"/>
      <c r="Q229" s="180"/>
      <c r="R229" s="180"/>
      <c r="S229" s="180"/>
      <c r="T229" s="180"/>
      <c r="U229" s="180"/>
      <c r="V229" s="180"/>
      <c r="W229" s="180"/>
      <c r="X229" s="179"/>
      <c r="Y229" s="179"/>
    </row>
    <row r="230" spans="1:25">
      <c r="A230" s="180"/>
      <c r="B230" s="180"/>
      <c r="C230" s="180"/>
      <c r="D230" s="180"/>
      <c r="E230" s="180"/>
      <c r="F230" s="180"/>
      <c r="G230" s="177"/>
      <c r="H230" s="177"/>
      <c r="I230" s="178"/>
      <c r="J230" s="181"/>
      <c r="K230" s="180"/>
      <c r="L230" s="180"/>
      <c r="M230" s="180"/>
      <c r="N230" s="180"/>
      <c r="O230" s="180"/>
      <c r="P230" s="180"/>
      <c r="Q230" s="180"/>
      <c r="R230" s="180"/>
      <c r="S230" s="180"/>
      <c r="T230" s="180"/>
      <c r="U230" s="180"/>
      <c r="V230" s="180"/>
      <c r="W230" s="180"/>
      <c r="X230" s="179"/>
      <c r="Y230" s="179"/>
    </row>
    <row r="231" spans="1:25">
      <c r="A231" s="180"/>
      <c r="B231" s="180"/>
      <c r="C231" s="180"/>
      <c r="D231" s="180"/>
      <c r="E231" s="180"/>
      <c r="F231" s="180"/>
      <c r="G231" s="177"/>
      <c r="H231" s="177"/>
      <c r="I231" s="178"/>
      <c r="J231" s="181"/>
      <c r="K231" s="180"/>
      <c r="L231" s="180"/>
      <c r="M231" s="180"/>
      <c r="N231" s="180"/>
      <c r="O231" s="180"/>
      <c r="P231" s="180"/>
      <c r="Q231" s="180"/>
      <c r="R231" s="180"/>
      <c r="S231" s="180"/>
      <c r="T231" s="180"/>
      <c r="U231" s="180"/>
      <c r="V231" s="180"/>
      <c r="W231" s="180"/>
      <c r="X231" s="179"/>
      <c r="Y231" s="179"/>
    </row>
    <row r="232" spans="1:25">
      <c r="A232" s="180"/>
      <c r="B232" s="180"/>
      <c r="C232" s="180"/>
      <c r="D232" s="180"/>
      <c r="E232" s="180"/>
      <c r="F232" s="180"/>
      <c r="G232" s="177"/>
      <c r="H232" s="177"/>
      <c r="I232" s="178"/>
      <c r="J232" s="181"/>
      <c r="K232" s="180"/>
      <c r="L232" s="180"/>
      <c r="M232" s="180"/>
      <c r="N232" s="180"/>
      <c r="O232" s="180"/>
      <c r="P232" s="180"/>
      <c r="Q232" s="180"/>
      <c r="R232" s="180"/>
      <c r="S232" s="180"/>
      <c r="T232" s="180"/>
      <c r="U232" s="180"/>
      <c r="V232" s="180"/>
      <c r="W232" s="180"/>
      <c r="X232" s="179"/>
      <c r="Y232" s="179"/>
    </row>
    <row r="233" spans="1:25">
      <c r="A233" s="180"/>
      <c r="B233" s="180"/>
      <c r="C233" s="180"/>
      <c r="D233" s="180"/>
      <c r="E233" s="180"/>
      <c r="F233" s="180"/>
      <c r="G233" s="177"/>
      <c r="H233" s="177"/>
      <c r="I233" s="178"/>
      <c r="J233" s="181"/>
      <c r="K233" s="180"/>
      <c r="L233" s="180"/>
      <c r="M233" s="180"/>
      <c r="N233" s="180"/>
      <c r="O233" s="180"/>
      <c r="P233" s="180"/>
      <c r="Q233" s="180"/>
      <c r="R233" s="180"/>
      <c r="S233" s="180"/>
      <c r="T233" s="180"/>
      <c r="U233" s="180"/>
      <c r="V233" s="180"/>
      <c r="W233" s="180"/>
      <c r="X233" s="179"/>
      <c r="Y233" s="179"/>
    </row>
    <row r="234" spans="1:25">
      <c r="A234" s="180"/>
      <c r="B234" s="180"/>
      <c r="C234" s="180"/>
      <c r="D234" s="180"/>
      <c r="E234" s="180"/>
      <c r="F234" s="180"/>
      <c r="G234" s="177"/>
      <c r="H234" s="177"/>
      <c r="I234" s="178"/>
      <c r="J234" s="181"/>
      <c r="K234" s="180"/>
      <c r="L234" s="180"/>
      <c r="M234" s="180"/>
      <c r="N234" s="180"/>
      <c r="O234" s="180"/>
      <c r="P234" s="180"/>
      <c r="Q234" s="180"/>
      <c r="R234" s="180"/>
      <c r="S234" s="180"/>
      <c r="T234" s="180"/>
      <c r="U234" s="180"/>
      <c r="V234" s="180"/>
      <c r="W234" s="180"/>
      <c r="X234" s="179"/>
      <c r="Y234" s="179"/>
    </row>
    <row r="235" spans="1:25">
      <c r="A235" s="180"/>
      <c r="B235" s="180"/>
      <c r="C235" s="180"/>
      <c r="D235" s="180"/>
      <c r="E235" s="180"/>
      <c r="F235" s="180"/>
      <c r="G235" s="177"/>
      <c r="H235" s="177"/>
      <c r="I235" s="178"/>
      <c r="J235" s="181"/>
      <c r="K235" s="180"/>
      <c r="L235" s="180"/>
      <c r="M235" s="180"/>
      <c r="N235" s="180"/>
      <c r="O235" s="180"/>
      <c r="P235" s="180"/>
      <c r="Q235" s="180"/>
      <c r="R235" s="180"/>
      <c r="S235" s="180"/>
      <c r="T235" s="180"/>
      <c r="U235" s="180"/>
      <c r="V235" s="180"/>
      <c r="W235" s="180"/>
      <c r="X235" s="179"/>
      <c r="Y235" s="179"/>
    </row>
    <row r="236" spans="1:25">
      <c r="A236" s="180"/>
      <c r="B236" s="180"/>
      <c r="C236" s="180"/>
      <c r="D236" s="180"/>
      <c r="E236" s="180"/>
      <c r="F236" s="180"/>
      <c r="G236" s="177"/>
      <c r="H236" s="177"/>
      <c r="I236" s="178"/>
      <c r="J236" s="181"/>
      <c r="K236" s="180"/>
      <c r="L236" s="180"/>
      <c r="M236" s="180"/>
      <c r="N236" s="180"/>
      <c r="O236" s="180"/>
      <c r="P236" s="180"/>
      <c r="Q236" s="180"/>
      <c r="R236" s="180"/>
      <c r="S236" s="180"/>
      <c r="T236" s="180"/>
      <c r="U236" s="180"/>
      <c r="V236" s="180"/>
      <c r="W236" s="180"/>
      <c r="X236" s="179"/>
      <c r="Y236" s="179"/>
    </row>
    <row r="237" spans="1:25">
      <c r="A237" s="180"/>
      <c r="B237" s="180"/>
      <c r="C237" s="180"/>
      <c r="D237" s="180"/>
      <c r="E237" s="180"/>
      <c r="F237" s="180"/>
      <c r="G237" s="177"/>
      <c r="H237" s="177"/>
      <c r="I237" s="178"/>
      <c r="J237" s="181"/>
      <c r="K237" s="180"/>
      <c r="L237" s="180"/>
      <c r="M237" s="180"/>
      <c r="N237" s="180"/>
      <c r="O237" s="180"/>
      <c r="P237" s="180"/>
      <c r="Q237" s="180"/>
      <c r="R237" s="180"/>
      <c r="S237" s="180"/>
      <c r="T237" s="180"/>
      <c r="U237" s="180"/>
      <c r="V237" s="180"/>
      <c r="W237" s="180"/>
      <c r="X237" s="179"/>
      <c r="Y237" s="179"/>
    </row>
    <row r="238" spans="1:25">
      <c r="A238" s="180"/>
      <c r="B238" s="180"/>
      <c r="C238" s="180"/>
      <c r="D238" s="180"/>
      <c r="E238" s="180"/>
      <c r="F238" s="180"/>
      <c r="G238" s="177"/>
      <c r="H238" s="177"/>
      <c r="I238" s="178"/>
      <c r="J238" s="181"/>
      <c r="K238" s="180"/>
      <c r="L238" s="180"/>
      <c r="M238" s="180"/>
      <c r="N238" s="180"/>
      <c r="O238" s="180"/>
      <c r="P238" s="180"/>
      <c r="Q238" s="180"/>
      <c r="R238" s="180"/>
      <c r="S238" s="180"/>
      <c r="T238" s="180"/>
      <c r="U238" s="180"/>
      <c r="V238" s="180"/>
      <c r="W238" s="180"/>
      <c r="X238" s="179"/>
      <c r="Y238" s="179"/>
    </row>
    <row r="239" spans="1:25">
      <c r="A239" s="180"/>
      <c r="B239" s="180"/>
      <c r="C239" s="180"/>
      <c r="D239" s="180"/>
      <c r="E239" s="180"/>
      <c r="F239" s="180"/>
      <c r="G239" s="177"/>
      <c r="H239" s="177"/>
      <c r="I239" s="178"/>
      <c r="J239" s="181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79"/>
      <c r="Y239" s="179"/>
    </row>
    <row r="240" spans="1:25">
      <c r="A240" s="180"/>
      <c r="B240" s="180"/>
      <c r="C240" s="180"/>
      <c r="D240" s="180"/>
      <c r="E240" s="180"/>
      <c r="F240" s="180"/>
      <c r="G240" s="177"/>
      <c r="H240" s="177"/>
      <c r="I240" s="178"/>
      <c r="J240" s="181"/>
      <c r="K240" s="180"/>
      <c r="L240" s="180"/>
      <c r="M240" s="180"/>
      <c r="N240" s="180"/>
      <c r="O240" s="180"/>
      <c r="P240" s="180"/>
      <c r="Q240" s="180"/>
      <c r="R240" s="180"/>
      <c r="S240" s="180"/>
      <c r="T240" s="180"/>
      <c r="U240" s="180"/>
      <c r="V240" s="180"/>
      <c r="W240" s="180"/>
      <c r="X240" s="179"/>
      <c r="Y240" s="179"/>
    </row>
    <row r="241" spans="1:25">
      <c r="A241" s="180"/>
      <c r="B241" s="180"/>
      <c r="C241" s="180"/>
      <c r="D241" s="180"/>
      <c r="E241" s="180"/>
      <c r="F241" s="180"/>
      <c r="G241" s="177"/>
      <c r="H241" s="177"/>
      <c r="I241" s="178"/>
      <c r="J241" s="181"/>
      <c r="K241" s="180"/>
      <c r="L241" s="180"/>
      <c r="M241" s="180"/>
      <c r="N241" s="180"/>
      <c r="O241" s="180"/>
      <c r="P241" s="180"/>
      <c r="Q241" s="180"/>
      <c r="R241" s="180"/>
      <c r="S241" s="180"/>
      <c r="T241" s="180"/>
      <c r="U241" s="180"/>
      <c r="V241" s="180"/>
      <c r="W241" s="180"/>
      <c r="X241" s="179"/>
      <c r="Y241" s="179"/>
    </row>
    <row r="242" spans="1:25">
      <c r="A242" s="180"/>
      <c r="B242" s="180"/>
      <c r="C242" s="180"/>
      <c r="D242" s="180"/>
      <c r="E242" s="180"/>
      <c r="F242" s="180"/>
      <c r="G242" s="177"/>
      <c r="H242" s="177"/>
      <c r="I242" s="178"/>
      <c r="J242" s="181"/>
      <c r="K242" s="180"/>
      <c r="L242" s="180"/>
      <c r="M242" s="180"/>
      <c r="N242" s="180"/>
      <c r="O242" s="180"/>
      <c r="P242" s="180"/>
      <c r="Q242" s="180"/>
      <c r="R242" s="180"/>
      <c r="S242" s="180"/>
      <c r="T242" s="180"/>
      <c r="U242" s="180"/>
      <c r="V242" s="180"/>
      <c r="W242" s="180"/>
      <c r="X242" s="179"/>
      <c r="Y242" s="179"/>
    </row>
    <row r="243" spans="1:25">
      <c r="A243" s="180"/>
      <c r="B243" s="180"/>
      <c r="C243" s="180"/>
      <c r="D243" s="180"/>
      <c r="E243" s="180"/>
      <c r="F243" s="180"/>
      <c r="G243" s="177"/>
      <c r="H243" s="177"/>
      <c r="I243" s="178"/>
      <c r="J243" s="181"/>
      <c r="K243" s="180"/>
      <c r="L243" s="180"/>
      <c r="M243" s="180"/>
      <c r="N243" s="180"/>
      <c r="O243" s="180"/>
      <c r="P243" s="180"/>
      <c r="Q243" s="180"/>
      <c r="R243" s="180"/>
      <c r="S243" s="180"/>
      <c r="T243" s="180"/>
      <c r="U243" s="180"/>
      <c r="V243" s="180"/>
      <c r="W243" s="180"/>
      <c r="X243" s="179"/>
      <c r="Y243" s="179"/>
    </row>
    <row r="244" spans="1:25">
      <c r="A244" s="180"/>
      <c r="B244" s="180"/>
      <c r="C244" s="180"/>
      <c r="D244" s="180"/>
      <c r="E244" s="180"/>
      <c r="F244" s="180"/>
      <c r="G244" s="177"/>
      <c r="H244" s="177"/>
      <c r="I244" s="178"/>
      <c r="J244" s="181"/>
      <c r="K244" s="180"/>
      <c r="L244" s="180"/>
      <c r="M244" s="180"/>
      <c r="N244" s="180"/>
      <c r="O244" s="180"/>
      <c r="P244" s="180"/>
      <c r="Q244" s="180"/>
      <c r="R244" s="180"/>
      <c r="S244" s="180"/>
      <c r="T244" s="180"/>
      <c r="U244" s="180"/>
      <c r="V244" s="180"/>
      <c r="W244" s="180"/>
      <c r="X244" s="179"/>
      <c r="Y244" s="179"/>
    </row>
    <row r="245" spans="1:25">
      <c r="A245" s="180"/>
      <c r="B245" s="180"/>
      <c r="C245" s="180"/>
      <c r="D245" s="180"/>
      <c r="E245" s="180"/>
      <c r="F245" s="180"/>
      <c r="G245" s="177"/>
      <c r="H245" s="177"/>
      <c r="I245" s="178"/>
      <c r="J245" s="181"/>
      <c r="K245" s="180"/>
      <c r="L245" s="180"/>
      <c r="M245" s="180"/>
      <c r="N245" s="180"/>
      <c r="O245" s="180"/>
      <c r="P245" s="180"/>
      <c r="Q245" s="180"/>
      <c r="R245" s="180"/>
      <c r="S245" s="180"/>
      <c r="T245" s="180"/>
      <c r="U245" s="180"/>
      <c r="V245" s="180"/>
      <c r="W245" s="180"/>
      <c r="X245" s="179"/>
      <c r="Y245" s="179"/>
    </row>
    <row r="246" spans="1:25">
      <c r="A246" s="180"/>
      <c r="B246" s="180"/>
      <c r="C246" s="180"/>
      <c r="D246" s="180"/>
      <c r="E246" s="180"/>
      <c r="F246" s="180"/>
      <c r="G246" s="177"/>
      <c r="H246" s="177"/>
      <c r="I246" s="178"/>
      <c r="J246" s="181"/>
      <c r="K246" s="180"/>
      <c r="L246" s="180"/>
      <c r="M246" s="180"/>
      <c r="N246" s="180"/>
      <c r="O246" s="180"/>
      <c r="P246" s="180"/>
      <c r="Q246" s="180"/>
      <c r="R246" s="180"/>
      <c r="S246" s="180"/>
      <c r="T246" s="180"/>
      <c r="U246" s="180"/>
      <c r="V246" s="180"/>
      <c r="W246" s="180"/>
      <c r="X246" s="179"/>
      <c r="Y246" s="179"/>
    </row>
    <row r="247" spans="1:25">
      <c r="A247" s="180"/>
      <c r="B247" s="180"/>
      <c r="C247" s="180"/>
      <c r="D247" s="180"/>
      <c r="E247" s="180"/>
      <c r="F247" s="180"/>
      <c r="G247" s="177"/>
      <c r="H247" s="177"/>
      <c r="I247" s="178"/>
      <c r="J247" s="181"/>
      <c r="K247" s="180"/>
      <c r="L247" s="180"/>
      <c r="M247" s="180"/>
      <c r="N247" s="180"/>
      <c r="O247" s="180"/>
      <c r="P247" s="180"/>
      <c r="Q247" s="180"/>
      <c r="R247" s="180"/>
      <c r="S247" s="180"/>
      <c r="T247" s="180"/>
      <c r="U247" s="180"/>
      <c r="V247" s="180"/>
      <c r="W247" s="180"/>
      <c r="X247" s="179"/>
      <c r="Y247" s="179"/>
    </row>
    <row r="248" spans="1:25">
      <c r="A248" s="180"/>
      <c r="B248" s="180"/>
      <c r="C248" s="180"/>
      <c r="D248" s="180"/>
      <c r="E248" s="180"/>
      <c r="F248" s="180"/>
      <c r="G248" s="177"/>
      <c r="H248" s="177"/>
      <c r="I248" s="178"/>
      <c r="J248" s="181"/>
      <c r="K248" s="180"/>
      <c r="L248" s="180"/>
      <c r="M248" s="180"/>
      <c r="N248" s="180"/>
      <c r="O248" s="180"/>
      <c r="P248" s="180"/>
      <c r="Q248" s="180"/>
      <c r="R248" s="180"/>
      <c r="S248" s="180"/>
      <c r="T248" s="180"/>
      <c r="U248" s="180"/>
      <c r="V248" s="180"/>
      <c r="W248" s="180"/>
      <c r="X248" s="179"/>
      <c r="Y248" s="179"/>
    </row>
    <row r="249" spans="1:25">
      <c r="A249" s="180"/>
      <c r="B249" s="180"/>
      <c r="C249" s="180"/>
      <c r="D249" s="180"/>
      <c r="E249" s="180"/>
      <c r="F249" s="180"/>
      <c r="G249" s="177"/>
      <c r="H249" s="177"/>
      <c r="I249" s="178"/>
      <c r="J249" s="181"/>
      <c r="K249" s="180"/>
      <c r="L249" s="180"/>
      <c r="M249" s="180"/>
      <c r="N249" s="180"/>
      <c r="O249" s="180"/>
      <c r="P249" s="180"/>
      <c r="Q249" s="180"/>
      <c r="R249" s="180"/>
      <c r="S249" s="180"/>
      <c r="T249" s="180"/>
      <c r="U249" s="180"/>
      <c r="V249" s="180"/>
      <c r="W249" s="180"/>
      <c r="X249" s="179"/>
      <c r="Y249" s="179"/>
    </row>
  </sheetData>
  <pageMargins left="0.7" right="0.7" top="0.75" bottom="0.75" header="0.3" footer="0.3"/>
  <pageSetup scale="7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AD29"/>
  <sheetViews>
    <sheetView showGridLines="0" workbookViewId="0"/>
  </sheetViews>
  <sheetFormatPr defaultRowHeight="15"/>
  <cols>
    <col min="1" max="1" width="17.28515625" customWidth="1"/>
    <col min="2" max="2" width="31.28515625" style="1" customWidth="1"/>
    <col min="3" max="3" width="23.7109375" customWidth="1"/>
    <col min="4" max="5" width="18.7109375" customWidth="1"/>
    <col min="6" max="6" width="10.7109375" style="1" customWidth="1"/>
    <col min="7" max="8" width="15.7109375" customWidth="1"/>
    <col min="9" max="9" width="15.5703125" customWidth="1"/>
    <col min="10" max="11" width="13.42578125" customWidth="1"/>
    <col min="12" max="12" width="11.42578125" style="1" hidden="1" customWidth="1"/>
    <col min="13" max="13" width="13.42578125" customWidth="1"/>
    <col min="14" max="14" width="11.85546875" customWidth="1"/>
    <col min="15" max="15" width="11.85546875" style="3" customWidth="1"/>
    <col min="16" max="16" width="11.85546875" style="11" customWidth="1"/>
    <col min="17" max="17" width="11.85546875" style="7" customWidth="1"/>
    <col min="18" max="19" width="11.85546875" style="1" customWidth="1"/>
    <col min="20" max="22" width="11.85546875" customWidth="1"/>
    <col min="23" max="23" width="11" style="11" customWidth="1"/>
    <col min="24" max="24" width="13.42578125" style="7" customWidth="1"/>
    <col min="25" max="26" width="13.42578125" style="9" customWidth="1"/>
    <col min="27" max="29" width="13.42578125" customWidth="1"/>
    <col min="30" max="30" width="13.42578125" style="13" customWidth="1"/>
  </cols>
  <sheetData>
    <row r="1" spans="1:30" s="1" customFormat="1" ht="15" customHeight="1">
      <c r="A1" s="69" t="str">
        <f>'Raw Data'!A1</f>
        <v>[Company name]</v>
      </c>
      <c r="B1" s="161"/>
      <c r="O1" s="3"/>
      <c r="P1" s="11"/>
      <c r="Q1" s="7"/>
      <c r="W1" s="11"/>
      <c r="X1" s="7"/>
      <c r="Y1" s="9"/>
      <c r="Z1" s="9"/>
      <c r="AD1" s="13"/>
    </row>
    <row r="2" spans="1:30" s="1" customFormat="1" ht="12.75" customHeight="1">
      <c r="A2" s="70" t="s">
        <v>89</v>
      </c>
      <c r="B2" s="160">
        <f ca="1">TODAY()</f>
        <v>39030</v>
      </c>
      <c r="O2" s="3"/>
      <c r="P2" s="11"/>
      <c r="Q2" s="7"/>
      <c r="W2" s="11"/>
      <c r="X2" s="7"/>
      <c r="Y2" s="9"/>
      <c r="Z2" s="9"/>
      <c r="AD2" s="13"/>
    </row>
    <row r="3" spans="1:30" s="1" customFormat="1" ht="12.75" customHeight="1">
      <c r="A3" s="70" t="s">
        <v>90</v>
      </c>
      <c r="B3" s="71" t="str">
        <f>'Raw Data'!B3</f>
        <v>[Name]</v>
      </c>
      <c r="O3" s="3"/>
      <c r="P3" s="11"/>
      <c r="Q3" s="7"/>
      <c r="W3" s="11"/>
      <c r="X3" s="7"/>
      <c r="Y3" s="9"/>
      <c r="Z3" s="9"/>
      <c r="AD3" s="13"/>
    </row>
    <row r="4" spans="1:30" s="1" customFormat="1" ht="42" customHeight="1">
      <c r="A4" s="17" t="s">
        <v>46</v>
      </c>
      <c r="B4" s="5"/>
      <c r="O4" s="3"/>
      <c r="P4" s="11"/>
      <c r="Q4" s="7"/>
      <c r="W4" s="11"/>
      <c r="X4" s="7"/>
      <c r="Y4" s="9"/>
      <c r="Z4" s="9"/>
      <c r="AD4" s="13"/>
    </row>
    <row r="5" spans="1:30" s="1" customFormat="1" ht="13.5" customHeight="1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</row>
    <row r="6" spans="1:30" s="95" customFormat="1" ht="18.75" customHeight="1" thickBot="1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</row>
    <row r="7" spans="1:30" ht="15.75" customHeight="1">
      <c r="A7" s="100" t="s">
        <v>105</v>
      </c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7"/>
      <c r="Q7" s="98"/>
      <c r="R7" s="96"/>
      <c r="S7" s="96"/>
      <c r="T7" s="96"/>
      <c r="U7" s="96"/>
      <c r="V7" s="96"/>
      <c r="W7" s="97"/>
      <c r="X7" s="98"/>
      <c r="Y7" s="99"/>
      <c r="Z7" s="99"/>
      <c r="AA7" s="96"/>
      <c r="AB7" s="96"/>
      <c r="AC7" s="96"/>
      <c r="AD7" s="115"/>
    </row>
    <row r="8" spans="1:30" ht="15" customHeight="1">
      <c r="A8" s="76" t="s">
        <v>1</v>
      </c>
      <c r="B8" s="78" t="str">
        <f>'Raw Data'!B8</f>
        <v>Widget marketing campaign</v>
      </c>
      <c r="C8" s="33"/>
      <c r="D8" s="33"/>
      <c r="E8" s="33"/>
      <c r="F8" s="3"/>
      <c r="G8" s="3"/>
      <c r="H8" s="3"/>
      <c r="I8" s="3"/>
      <c r="J8" s="3"/>
      <c r="K8" s="3"/>
      <c r="L8" s="3"/>
      <c r="M8" s="3"/>
      <c r="N8" s="3"/>
      <c r="O8" s="12"/>
      <c r="P8" s="8"/>
      <c r="Q8" s="3"/>
      <c r="R8" s="3"/>
      <c r="S8" s="3"/>
      <c r="T8" s="3"/>
      <c r="U8" s="3"/>
      <c r="V8" s="12"/>
      <c r="W8" s="8"/>
      <c r="X8" s="10"/>
      <c r="Y8" s="10"/>
      <c r="Z8" s="3"/>
      <c r="AA8" s="3"/>
      <c r="AB8" s="3"/>
      <c r="AC8" s="14"/>
      <c r="AD8" s="87"/>
    </row>
    <row r="9" spans="1:30">
      <c r="A9" s="76" t="s">
        <v>45</v>
      </c>
      <c r="B9" s="78" t="str">
        <f>'Raw Data'!D8</f>
        <v>Anna Franklin</v>
      </c>
      <c r="C9" s="33"/>
      <c r="D9" s="33"/>
      <c r="E9" s="33"/>
      <c r="F9" s="3"/>
      <c r="G9" s="3"/>
      <c r="H9" s="3"/>
      <c r="I9" s="3"/>
      <c r="J9" s="3"/>
      <c r="K9" s="3"/>
      <c r="L9" s="3"/>
      <c r="M9" s="3"/>
      <c r="N9" s="3"/>
      <c r="O9" s="12"/>
      <c r="P9" s="8"/>
      <c r="Q9" s="3"/>
      <c r="R9" s="3"/>
      <c r="S9" s="3"/>
      <c r="T9" s="3"/>
      <c r="U9" s="3"/>
      <c r="V9" s="12"/>
      <c r="W9" s="8"/>
      <c r="X9" s="10"/>
      <c r="Y9" s="10"/>
      <c r="Z9" s="3"/>
      <c r="AA9" s="3"/>
      <c r="AB9" s="3"/>
      <c r="AC9" s="14"/>
      <c r="AD9" s="87"/>
    </row>
    <row r="10" spans="1:30">
      <c r="A10" s="76"/>
      <c r="B10" s="33"/>
      <c r="C10" s="33"/>
      <c r="D10" s="33"/>
      <c r="E10" s="33"/>
      <c r="F10" s="3"/>
      <c r="G10" s="3"/>
      <c r="H10" s="3"/>
      <c r="I10" s="3"/>
      <c r="J10" s="3"/>
      <c r="K10" s="3"/>
      <c r="L10" s="3"/>
      <c r="M10" s="3"/>
      <c r="N10" s="3"/>
      <c r="O10" s="12"/>
      <c r="P10" s="8"/>
      <c r="Q10" s="3"/>
      <c r="R10" s="3"/>
      <c r="S10" s="3"/>
      <c r="T10" s="3"/>
      <c r="U10" s="3"/>
      <c r="V10" s="12"/>
      <c r="W10" s="8"/>
      <c r="X10" s="10"/>
      <c r="Y10" s="10"/>
      <c r="Z10" s="3"/>
      <c r="AA10" s="3"/>
      <c r="AB10" s="3"/>
      <c r="AC10" s="14"/>
      <c r="AD10" s="87"/>
    </row>
    <row r="11" spans="1:30">
      <c r="A11" s="76" t="s">
        <v>47</v>
      </c>
      <c r="F11" s="6"/>
      <c r="G11" s="3"/>
      <c r="H11" s="3"/>
      <c r="I11" s="3"/>
      <c r="J11" s="3"/>
      <c r="K11" s="3"/>
      <c r="L11" s="3"/>
      <c r="M11" s="3"/>
      <c r="N11" s="3"/>
      <c r="O11" s="12"/>
      <c r="P11" s="8"/>
      <c r="Q11" s="3"/>
      <c r="R11" s="3"/>
      <c r="S11" s="3"/>
      <c r="T11" s="3"/>
      <c r="U11" s="3"/>
      <c r="V11" s="12"/>
      <c r="W11" s="8"/>
      <c r="X11" s="10"/>
      <c r="Y11" s="10"/>
      <c r="Z11" s="3"/>
      <c r="AA11" s="3"/>
      <c r="AB11" s="3"/>
      <c r="AC11" s="14"/>
      <c r="AD11" s="87"/>
    </row>
    <row r="12" spans="1:30" ht="15.75" thickBot="1">
      <c r="A12" s="116" t="s">
        <v>48</v>
      </c>
      <c r="B12" s="66">
        <v>38718</v>
      </c>
      <c r="C12" s="33"/>
      <c r="D12" s="33"/>
      <c r="E12" s="33"/>
      <c r="F12" s="3"/>
      <c r="G12" s="3"/>
      <c r="H12" s="3"/>
      <c r="I12" s="3"/>
      <c r="J12" s="3"/>
      <c r="K12" s="3"/>
      <c r="L12" s="3"/>
      <c r="M12" s="3"/>
      <c r="N12" s="3"/>
      <c r="O12" s="12"/>
      <c r="P12" s="8"/>
      <c r="Q12" s="3"/>
      <c r="R12" s="3"/>
      <c r="S12" s="3"/>
      <c r="T12" s="3"/>
      <c r="U12" s="3"/>
      <c r="V12" s="12"/>
      <c r="W12" s="8"/>
      <c r="X12" s="10"/>
      <c r="Y12" s="10"/>
      <c r="Z12" s="3"/>
      <c r="AA12" s="3"/>
      <c r="AB12" s="3"/>
      <c r="AC12" s="14"/>
      <c r="AD12" s="87"/>
    </row>
    <row r="13" spans="1:30" ht="15.75" customHeight="1">
      <c r="A13" s="116" t="s">
        <v>49</v>
      </c>
      <c r="B13" s="67">
        <v>38869</v>
      </c>
      <c r="C13" s="33"/>
      <c r="D13" s="33"/>
      <c r="E13" s="33"/>
      <c r="F13" s="3"/>
      <c r="G13" s="191" t="s">
        <v>2</v>
      </c>
      <c r="H13" s="192"/>
      <c r="I13" s="192"/>
      <c r="J13" s="192"/>
      <c r="K13" s="192"/>
      <c r="L13" s="192"/>
      <c r="M13" s="192"/>
      <c r="N13" s="193"/>
      <c r="O13" s="12"/>
      <c r="P13" s="8"/>
      <c r="Q13" s="111"/>
      <c r="R13" s="112"/>
      <c r="S13" s="113" t="s">
        <v>3</v>
      </c>
      <c r="T13" s="113"/>
      <c r="U13" s="114"/>
      <c r="V13" s="41"/>
      <c r="W13" s="42"/>
      <c r="X13" s="191" t="s">
        <v>68</v>
      </c>
      <c r="Y13" s="192"/>
      <c r="Z13" s="192"/>
      <c r="AA13" s="192"/>
      <c r="AB13" s="193"/>
      <c r="AC13" s="43"/>
      <c r="AD13" s="88"/>
    </row>
    <row r="14" spans="1:30" ht="42.75" customHeight="1">
      <c r="A14" s="109" t="s">
        <v>87</v>
      </c>
      <c r="B14" s="110">
        <f ca="1">TODAY()</f>
        <v>39030</v>
      </c>
      <c r="C14" s="33"/>
      <c r="D14" s="33"/>
      <c r="E14" s="33"/>
      <c r="F14" s="3"/>
      <c r="G14" s="45" t="s">
        <v>92</v>
      </c>
      <c r="H14" s="46" t="s">
        <v>93</v>
      </c>
      <c r="I14" s="46" t="s">
        <v>10</v>
      </c>
      <c r="J14" s="46" t="s">
        <v>102</v>
      </c>
      <c r="K14" s="46" t="s">
        <v>71</v>
      </c>
      <c r="L14" s="46" t="s">
        <v>4</v>
      </c>
      <c r="M14" s="46" t="s">
        <v>5</v>
      </c>
      <c r="N14" s="47" t="s">
        <v>6</v>
      </c>
      <c r="O14" s="12"/>
      <c r="P14" s="8"/>
      <c r="Q14" s="45" t="s">
        <v>50</v>
      </c>
      <c r="R14" s="46" t="s">
        <v>95</v>
      </c>
      <c r="S14" s="46" t="s">
        <v>4</v>
      </c>
      <c r="T14" s="46" t="s">
        <v>5</v>
      </c>
      <c r="U14" s="47" t="s">
        <v>7</v>
      </c>
      <c r="V14" s="41"/>
      <c r="W14" s="42"/>
      <c r="X14" s="84" t="s">
        <v>69</v>
      </c>
      <c r="Y14" s="85" t="s">
        <v>97</v>
      </c>
      <c r="Z14" s="46" t="s">
        <v>4</v>
      </c>
      <c r="AA14" s="46" t="s">
        <v>5</v>
      </c>
      <c r="AB14" s="47" t="s">
        <v>70</v>
      </c>
      <c r="AC14" s="43"/>
      <c r="AD14" s="88"/>
    </row>
    <row r="15" spans="1:30" ht="18.75" customHeight="1" thickBot="1">
      <c r="A15" s="77" t="s">
        <v>9</v>
      </c>
      <c r="B15" s="34"/>
      <c r="C15" s="34"/>
      <c r="D15" s="34"/>
      <c r="E15" s="34"/>
      <c r="F15" s="32"/>
      <c r="G15" s="80">
        <f>IF('Raw Data'!G8=0,"",'Raw Data'!G8)</f>
        <v>38718</v>
      </c>
      <c r="H15" s="152">
        <f>IF('Raw Data'!H8=0,"",'Raw Data'!H8)</f>
        <v>38719</v>
      </c>
      <c r="I15" s="152">
        <f>IF('Raw Data'!I8=0,"",'Raw Data'!I8)</f>
        <v>38777</v>
      </c>
      <c r="J15" s="152">
        <f>IF('Raw Data'!L8="",'Raw Data'!K8, 'Raw Data'!L8)</f>
        <v>38791</v>
      </c>
      <c r="K15" s="153">
        <f>IF(MIN(K19:K29)=1, 1, 0)</f>
        <v>1</v>
      </c>
      <c r="L15" s="154">
        <f>I15-J15</f>
        <v>-14</v>
      </c>
      <c r="M15" s="155">
        <f xml:space="preserve"> L15/-(G15-I15)</f>
        <v>-0.23728813559322035</v>
      </c>
      <c r="N15" s="82">
        <f xml:space="preserve"> IF(K15="","", IF(K15=1,IF(OR((-L15&gt;'Assumptions and Notes'!$C$8), (-M15&gt;'Assumptions and Notes'!$D$8)),3,1),IF(AND((I15&lt;=$B$14),  (OR((($B$14-I15)&gt;'Assumptions and Notes'!$C$8),  (($B$14-I15)/(I15-G15)&gt;'Assumptions and Notes'!$D$8)))),3,IF(OR((-L15&gt;'Assumptions and Notes'!$C$8),  (-M15&gt;'Assumptions and Notes'!$D$8)),2,1))))</f>
        <v>3</v>
      </c>
      <c r="O15" s="54"/>
      <c r="P15" s="55"/>
      <c r="Q15" s="81">
        <f>'Raw Data'!M8</f>
        <v>5100</v>
      </c>
      <c r="R15" s="143">
        <f>'Raw Data'!N8</f>
        <v>5600</v>
      </c>
      <c r="S15" s="144">
        <f>SUM(S19:S29)</f>
        <v>-500</v>
      </c>
      <c r="T15" s="145">
        <f>IF(Q15="", "", S15/Q15)</f>
        <v>-9.8039215686274508E-2</v>
      </c>
      <c r="U15" s="82">
        <f>IF(Q15="","", IF(AND((R15&lt;Q15), (OR((-S15&gt;'Assumptions and Notes'!$C$9),  (-T15 &gt;'Assumptions and Notes'!$D$9)))),3,IF(OR((-S15&gt;'Assumptions and Notes'!$C$9),  (-'Project Status Report'!T15&gt;'Assumptions and Notes'!$D$9)),2,1)))</f>
        <v>1</v>
      </c>
      <c r="V15" s="56"/>
      <c r="W15" s="57"/>
      <c r="X15" s="83">
        <f>'Raw Data'!P8</f>
        <v>9000</v>
      </c>
      <c r="Y15" s="146">
        <f>'Raw Data'!Q8</f>
        <v>9500</v>
      </c>
      <c r="Z15" s="147">
        <f>SUM(Z19:Z29)</f>
        <v>-450</v>
      </c>
      <c r="AA15" s="145">
        <f>IF(X15="","", Z15/X15)</f>
        <v>-0.05</v>
      </c>
      <c r="AB15" s="119">
        <f>IF(X15="","", IF(AND(X15&lt;Y15,  OR((-Z15&gt;'Assumptions and Notes'!$C$10),  (-AA15&gt;'Assumptions and Notes'!$D$10))),3,IF(OR(-Z15&gt;'Assumptions and Notes'!$C$10, -'Project Status Report'!AA15&gt;'Assumptions and Notes'!D10),2,1)))</f>
        <v>3</v>
      </c>
      <c r="AC15" s="89"/>
      <c r="AD15" s="90"/>
    </row>
    <row r="16" spans="1:30" s="1" customFormat="1" ht="18.75" customHeight="1" thickBot="1">
      <c r="A16" s="76"/>
      <c r="B16" s="33"/>
      <c r="C16" s="33"/>
      <c r="D16" s="33"/>
      <c r="E16" s="33"/>
      <c r="F16" s="3"/>
      <c r="G16" s="35"/>
      <c r="H16" s="35"/>
      <c r="I16" s="35"/>
      <c r="J16" s="35"/>
      <c r="K16" s="36"/>
      <c r="L16" s="37"/>
      <c r="M16" s="92"/>
      <c r="N16" s="18"/>
      <c r="O16" s="12"/>
      <c r="P16" s="8"/>
      <c r="Q16" s="39"/>
      <c r="R16" s="39"/>
      <c r="S16" s="40"/>
      <c r="T16" s="38"/>
      <c r="U16" s="36"/>
      <c r="V16" s="41"/>
      <c r="W16" s="42"/>
      <c r="X16" s="44"/>
      <c r="Y16" s="44"/>
      <c r="Z16" s="93"/>
      <c r="AA16" s="38"/>
      <c r="AB16" s="94"/>
      <c r="AC16" s="43"/>
      <c r="AD16" s="43"/>
    </row>
    <row r="17" spans="1:30" ht="15.75" customHeight="1">
      <c r="A17" s="100" t="s">
        <v>106</v>
      </c>
      <c r="B17" s="100"/>
      <c r="C17" s="96"/>
      <c r="D17" s="96"/>
      <c r="E17" s="96"/>
      <c r="F17" s="96"/>
      <c r="G17" s="117"/>
      <c r="H17" s="96"/>
      <c r="I17" s="96"/>
      <c r="J17" s="96"/>
      <c r="K17" s="96"/>
      <c r="L17" s="96"/>
      <c r="M17" s="96"/>
      <c r="N17" s="118"/>
      <c r="O17" s="96"/>
      <c r="P17" s="97"/>
      <c r="Q17" s="194"/>
      <c r="R17" s="195"/>
      <c r="S17" s="195"/>
      <c r="T17" s="195"/>
      <c r="U17" s="196"/>
      <c r="V17" s="96"/>
      <c r="W17" s="103"/>
      <c r="X17" s="197"/>
      <c r="Y17" s="198"/>
      <c r="Z17" s="198"/>
      <c r="AA17" s="198"/>
      <c r="AB17" s="199"/>
      <c r="AC17" s="104"/>
      <c r="AD17" s="108"/>
    </row>
    <row r="18" spans="1:30" ht="42.75" customHeight="1">
      <c r="A18" s="101" t="s">
        <v>83</v>
      </c>
      <c r="B18" s="101" t="s">
        <v>84</v>
      </c>
      <c r="C18" s="101" t="s">
        <v>86</v>
      </c>
      <c r="D18" s="101" t="s">
        <v>85</v>
      </c>
      <c r="E18" s="101" t="s">
        <v>22</v>
      </c>
      <c r="F18" s="102" t="s">
        <v>0</v>
      </c>
      <c r="G18" s="105" t="s">
        <v>91</v>
      </c>
      <c r="H18" s="106" t="s">
        <v>94</v>
      </c>
      <c r="I18" s="106" t="s">
        <v>10</v>
      </c>
      <c r="J18" s="106" t="s">
        <v>101</v>
      </c>
      <c r="K18" s="106" t="s">
        <v>71</v>
      </c>
      <c r="L18" s="106" t="s">
        <v>103</v>
      </c>
      <c r="M18" s="106" t="s">
        <v>60</v>
      </c>
      <c r="N18" s="107" t="s">
        <v>6</v>
      </c>
      <c r="O18" s="105" t="s">
        <v>51</v>
      </c>
      <c r="P18" s="107" t="s">
        <v>52</v>
      </c>
      <c r="Q18" s="105" t="s">
        <v>50</v>
      </c>
      <c r="R18" s="106" t="s">
        <v>95</v>
      </c>
      <c r="S18" s="106" t="s">
        <v>57</v>
      </c>
      <c r="T18" s="106" t="s">
        <v>58</v>
      </c>
      <c r="U18" s="107" t="s">
        <v>7</v>
      </c>
      <c r="V18" s="105" t="s">
        <v>56</v>
      </c>
      <c r="W18" s="107" t="s">
        <v>96</v>
      </c>
      <c r="X18" s="105" t="s">
        <v>100</v>
      </c>
      <c r="Y18" s="106" t="s">
        <v>98</v>
      </c>
      <c r="Z18" s="106" t="s">
        <v>99</v>
      </c>
      <c r="AA18" s="106" t="s">
        <v>59</v>
      </c>
      <c r="AB18" s="107" t="s">
        <v>8</v>
      </c>
      <c r="AC18" s="105" t="s">
        <v>53</v>
      </c>
      <c r="AD18" s="107" t="s">
        <v>54</v>
      </c>
    </row>
    <row r="19" spans="1:30">
      <c r="A19" s="86">
        <f>IF('Raw Data'!A9=0,"",'Raw Data'!A9)</f>
        <v>3.1</v>
      </c>
      <c r="B19" s="121" t="str">
        <f>IF('Raw Data'!B9=0,"",'Raw Data'!B9)</f>
        <v>Campaign message developed</v>
      </c>
      <c r="C19" s="121" t="str">
        <f>IF('Raw Data'!C9=0,"",'Raw Data'!C9)</f>
        <v>Sub-project</v>
      </c>
      <c r="D19" s="121" t="str">
        <f>IF('Raw Data'!D9=0,"",'Raw Data'!D9)</f>
        <v>Anna Franklin</v>
      </c>
      <c r="E19" s="122" t="str">
        <f>IF('Raw Data'!E9=0,"",'Raw Data'!E9)</f>
        <v>Yes</v>
      </c>
      <c r="F19" s="79" t="str">
        <f>IF('Raw Data'!F9=0,"",'Raw Data'!F9)</f>
        <v>No</v>
      </c>
      <c r="G19" s="50">
        <f>IF('Raw Data'!G9=0,"",'Raw Data'!G9)</f>
        <v>38718</v>
      </c>
      <c r="H19" s="125">
        <f>IF('Raw Data'!H9=0,"",'Raw Data'!H9)</f>
        <v>38727</v>
      </c>
      <c r="I19" s="125">
        <f>IF('Raw Data'!I9=0,"",'Raw Data'!I9)</f>
        <v>38777</v>
      </c>
      <c r="J19" s="125">
        <f>IF(C19="","", IF('Raw Data'!L9 &gt; 0,'Raw Data'!L9,'Raw Data'!K9))</f>
        <v>38791</v>
      </c>
      <c r="K19" s="126">
        <f>IF('Raw Data'!J9="","", IF('Raw Data'!J9=1, 1, 0))</f>
        <v>1</v>
      </c>
      <c r="L19" s="127">
        <f>I19-J19</f>
        <v>-14</v>
      </c>
      <c r="M19" s="128">
        <f>IF($C19="","", L19/(I19-G19))</f>
        <v>-0.23728813559322035</v>
      </c>
      <c r="N19" s="36">
        <f xml:space="preserve"> IF(K19="","", IF(K19=1,IF(OR((-L19&gt;'Assumptions and Notes'!$C$8), (-M19&gt;'Assumptions and Notes'!$D$8)),3,1),IF(AND((I19&lt;=$B$14),  (OR((($B$14-I19)&gt;'Assumptions and Notes'!$C$8),  (($B$14-I19)/(I19-G19)&gt;'Assumptions and Notes'!$D$8)))),3,IF(OR((-L19&gt;'Assumptions and Notes'!$C$8),  (-M19&gt;'Assumptions and Notes'!$D$8)),2,1))))</f>
        <v>3</v>
      </c>
      <c r="O19" s="63" t="str">
        <f>IF($C19="","",IF('Raw Data'!S9=0,"",'Raw Data'!S9))</f>
        <v/>
      </c>
      <c r="P19" s="64" t="str">
        <f>IF($C19="","",IF('Raw Data'!T9=0,"",'Raw Data'!T9))</f>
        <v/>
      </c>
      <c r="Q19" s="39">
        <f>IF(C19="","",'Raw Data'!M9)</f>
        <v>3000</v>
      </c>
      <c r="R19" s="138">
        <f>IF('Raw Data'!N9="","",'Raw Data'!N9)</f>
        <v>3100</v>
      </c>
      <c r="S19" s="139">
        <f t="shared" ref="S19:S29" si="0">IF(Q19="","",Q19-R19)</f>
        <v>-100</v>
      </c>
      <c r="T19" s="132">
        <f t="shared" ref="T19:T29" si="1">IF(Q19="", "", S19/Q19)</f>
        <v>-3.3333333333333333E-2</v>
      </c>
      <c r="U19" s="52">
        <f>IF(Q19="","", IF(AND((R19&lt;Q19), (OR((-S19&gt;'Assumptions and Notes'!$C$9),  (-T19 &gt;'Assumptions and Notes'!$D$9)))),3,IF(OR((-S19&gt;'Assumptions and Notes'!$C$9),  (-'Project Status Report'!T19&gt;'Assumptions and Notes'!$D$9)),2,1)))</f>
        <v>1</v>
      </c>
      <c r="V19" s="58" t="str">
        <f>IF($C19="","",IF('Raw Data'!U9=0,"",'Raw Data'!U9))</f>
        <v/>
      </c>
      <c r="W19" s="59" t="str">
        <f>IF($C19="","",IF('Raw Data'!V9=0,"",'Raw Data'!V9))</f>
        <v/>
      </c>
      <c r="X19" s="61">
        <f>IF(C19="","",'Raw Data'!P9)</f>
        <v>4000</v>
      </c>
      <c r="Y19" s="148">
        <f>IF('Raw Data'!Q9="", "", 'Raw Data'!Q9)</f>
        <v>4200</v>
      </c>
      <c r="Z19" s="149">
        <f t="shared" ref="Z19:Z29" si="2">IF(X19="", "", X19-Y19)</f>
        <v>-200</v>
      </c>
      <c r="AA19" s="132">
        <f t="shared" ref="AA19:AA29" si="3">IF(X19="","", Z19/X19)</f>
        <v>-0.05</v>
      </c>
      <c r="AB19" s="120">
        <f>IF(X19="","", IF(AND(X19&lt;Y19,  OR((-Z19&gt;'Assumptions and Notes'!$C$10),  (-AA19&gt;'Assumptions and Notes'!$D$10))),3,IF(OR(-Z19&gt;'Assumptions and Notes'!$C$10, -'Project Status Report'!AA19&gt;'Assumptions and Notes'!D14),2,1)))</f>
        <v>3</v>
      </c>
      <c r="AC19" s="58" t="str">
        <f>IF($C19="","",IF('Raw Data'!W9=0,"",'Raw Data'!W9))</f>
        <v/>
      </c>
      <c r="AD19" s="59" t="str">
        <f>IF($C19="","",IF('Raw Data'!X9=0,"",'Raw Data'!X9))</f>
        <v/>
      </c>
    </row>
    <row r="20" spans="1:30">
      <c r="A20" s="86" t="str">
        <f>IF('Raw Data'!A10=0,"",'Raw Data'!A10)</f>
        <v>3.1.1</v>
      </c>
      <c r="B20" s="123" t="str">
        <f>IF('Raw Data'!B10=0,"",'Raw Data'!B10)</f>
        <v>Establish PR lists</v>
      </c>
      <c r="C20" s="123" t="str">
        <f>IF('Raw Data'!C10=0,"",'Raw Data'!C10)</f>
        <v>Activity</v>
      </c>
      <c r="D20" s="123" t="str">
        <f>IF('Raw Data'!D10=0,"",'Raw Data'!D10)</f>
        <v>Frank Taylor</v>
      </c>
      <c r="E20" s="124" t="str">
        <f>IF('Raw Data'!E10=0,"",'Raw Data'!E10)</f>
        <v>No</v>
      </c>
      <c r="F20" s="79" t="str">
        <f>IF('Raw Data'!F10=0,"",'Raw Data'!F10)</f>
        <v>Yes</v>
      </c>
      <c r="G20" s="50">
        <f>IF('Raw Data'!G10=0,"",'Raw Data'!G10)</f>
        <v>38718</v>
      </c>
      <c r="H20" s="129">
        <f>IF('Raw Data'!H10=0,"",'Raw Data'!H10)</f>
        <v>38719</v>
      </c>
      <c r="I20" s="129">
        <f>IF('Raw Data'!I10=0,"",'Raw Data'!I10)</f>
        <v>38777</v>
      </c>
      <c r="J20" s="129">
        <f>IF(C20="","", IF('Raw Data'!L10 &gt; 0,'Raw Data'!L10,'Raw Data'!K10))</f>
        <v>38778</v>
      </c>
      <c r="K20" s="130">
        <f>IF('Raw Data'!J10="","", IF('Raw Data'!J10=1, 1, 0))</f>
        <v>1</v>
      </c>
      <c r="L20" s="131">
        <f>I20-J20</f>
        <v>-1</v>
      </c>
      <c r="M20" s="132">
        <f>IF($C20="","", L20/(I20-G20))</f>
        <v>-1.6949152542372881E-2</v>
      </c>
      <c r="N20" s="36">
        <f xml:space="preserve"> IF(K20="","", IF(K20=1,IF(OR((-L20&gt;'Assumptions and Notes'!$C$8), (-M20&gt;'Assumptions and Notes'!$D$8)),3,1),IF(AND((I20&lt;=$B$14),  (OR((($B$14-I20)&gt;'Assumptions and Notes'!$C$8),  (($B$14-I20)/(I20-G20)&gt;'Assumptions and Notes'!$D$8)))),3,IF(OR((-L20&gt;'Assumptions and Notes'!$C$8),  (-M20&gt;'Assumptions and Notes'!$D$8)),2,1))))</f>
        <v>1</v>
      </c>
      <c r="O20" s="63" t="str">
        <f>IF($C20="","",IF('Raw Data'!S10=0,"",'Raw Data'!S10))</f>
        <v/>
      </c>
      <c r="P20" s="64" t="str">
        <f>IF($C20="","",IF('Raw Data'!T10=0,"",'Raw Data'!T10))</f>
        <v/>
      </c>
      <c r="Q20" s="39">
        <f>IF(C20="","",'Raw Data'!M10)</f>
        <v>2000</v>
      </c>
      <c r="R20" s="138">
        <f>IF('Raw Data'!N10="","",'Raw Data'!N10)</f>
        <v>2500</v>
      </c>
      <c r="S20" s="139">
        <f t="shared" si="0"/>
        <v>-500</v>
      </c>
      <c r="T20" s="132">
        <f t="shared" si="1"/>
        <v>-0.25</v>
      </c>
      <c r="U20" s="52">
        <f>IF(Q20="","", IF(AND((R20&lt;Q20), (OR((-S20&gt;'Assumptions and Notes'!$C$9),  (-T20 &gt;'Assumptions and Notes'!$D$9)))),3,IF(OR((-S20&gt;'Assumptions and Notes'!$C$9),  (-'Project Status Report'!T20&gt;'Assumptions and Notes'!$D$9)),2,1)))</f>
        <v>2</v>
      </c>
      <c r="V20" s="58" t="str">
        <f>IF($C20="","",IF('Raw Data'!U10=0,"",'Raw Data'!U10))</f>
        <v/>
      </c>
      <c r="W20" s="59" t="str">
        <f>IF($C20="","",IF('Raw Data'!V10=0,"",'Raw Data'!V10))</f>
        <v/>
      </c>
      <c r="X20" s="61">
        <f>IF(C20="","",'Raw Data'!P10)</f>
        <v>4000</v>
      </c>
      <c r="Y20" s="148">
        <f>IF('Raw Data'!Q10="", "", 'Raw Data'!Q10)</f>
        <v>4300</v>
      </c>
      <c r="Z20" s="149">
        <f t="shared" si="2"/>
        <v>-300</v>
      </c>
      <c r="AA20" s="132">
        <f t="shared" si="3"/>
        <v>-7.4999999999999997E-2</v>
      </c>
      <c r="AB20" s="120">
        <f>IF(X20="","", IF(AND(X20&lt;Y20,  OR((-Z20&gt;'Assumptions and Notes'!$C$10),  (-AA20&gt;'Assumptions and Notes'!$D$10))),3,IF(OR(-Z20&gt;'Assumptions and Notes'!$C$10, -'Project Status Report'!AA20&gt;'Assumptions and Notes'!D15),2,1)))</f>
        <v>3</v>
      </c>
      <c r="AC20" s="58" t="str">
        <f>IF($C20="","",IF('Raw Data'!W10=0,"",'Raw Data'!W10))</f>
        <v/>
      </c>
      <c r="AD20" s="59" t="str">
        <f>IF($C20="","",IF('Raw Data'!X10=0,"",'Raw Data'!X10))</f>
        <v/>
      </c>
    </row>
    <row r="21" spans="1:30">
      <c r="A21" s="86">
        <f>IF('Raw Data'!A11=0,"",'Raw Data'!A11)</f>
        <v>3.2</v>
      </c>
      <c r="B21" s="123" t="str">
        <f>IF('Raw Data'!B11=0,"",'Raw Data'!B11)</f>
        <v>Create campaign execution plan</v>
      </c>
      <c r="C21" s="123" t="str">
        <f>IF('Raw Data'!C11=0,"",'Raw Data'!C11)</f>
        <v>Sub-project</v>
      </c>
      <c r="D21" s="123" t="str">
        <f>IF('Raw Data'!D11=0,"",'Raw Data'!D11)</f>
        <v>Anna Franklin</v>
      </c>
      <c r="E21" s="124" t="str">
        <f>IF('Raw Data'!E11=0,"",'Raw Data'!E11)</f>
        <v>Yes</v>
      </c>
      <c r="F21" s="79" t="str">
        <f>IF('Raw Data'!F11=0,"",'Raw Data'!F11)</f>
        <v>No</v>
      </c>
      <c r="G21" s="50">
        <f>IF('Raw Data'!G11=0,"",'Raw Data'!G11)</f>
        <v>38749</v>
      </c>
      <c r="H21" s="129">
        <f>IF('Raw Data'!H11=0,"",'Raw Data'!H11)</f>
        <v>38749</v>
      </c>
      <c r="I21" s="129">
        <f>IF('Raw Data'!I11=0,"",'Raw Data'!I11)</f>
        <v>38753</v>
      </c>
      <c r="J21" s="129">
        <f>IF(C21="","", IF('Raw Data'!L11 &gt; 0,'Raw Data'!L11,'Raw Data'!K11))</f>
        <v>38753</v>
      </c>
      <c r="K21" s="130">
        <f>IF('Raw Data'!J11="","", IF('Raw Data'!J11=1, 1, 0))</f>
        <v>1</v>
      </c>
      <c r="L21" s="131">
        <f>I21-J21</f>
        <v>0</v>
      </c>
      <c r="M21" s="132">
        <f>IF($C21="","", L21/(I21-G21))</f>
        <v>0</v>
      </c>
      <c r="N21" s="36">
        <f xml:space="preserve"> IF(K21="","", IF(K21=1,IF(OR((-L21&gt;'Assumptions and Notes'!$C$8), (-M21&gt;'Assumptions and Notes'!$D$8)),3,1),IF(AND((I21&lt;=$B$14),  (OR((($B$14-I21)&gt;'Assumptions and Notes'!$C$8),  (($B$14-I21)/(I21-G21)&gt;'Assumptions and Notes'!$D$8)))),3,IF(OR((-L21&gt;'Assumptions and Notes'!$C$8),  (-M21&gt;'Assumptions and Notes'!$D$8)),2,1))))</f>
        <v>1</v>
      </c>
      <c r="O21" s="63" t="str">
        <f>IF($C21="","",IF('Raw Data'!S11=0,"",'Raw Data'!S11))</f>
        <v/>
      </c>
      <c r="P21" s="64" t="str">
        <f>IF($C21="","",IF('Raw Data'!T11=0,"",'Raw Data'!T11))</f>
        <v/>
      </c>
      <c r="Q21" s="39">
        <f>IF(C21="","",'Raw Data'!M11)</f>
        <v>100</v>
      </c>
      <c r="R21" s="138">
        <f>IF('Raw Data'!N11="","",'Raw Data'!N11)</f>
        <v>0</v>
      </c>
      <c r="S21" s="139">
        <f t="shared" si="0"/>
        <v>100</v>
      </c>
      <c r="T21" s="132">
        <f t="shared" si="1"/>
        <v>1</v>
      </c>
      <c r="U21" s="52">
        <f>IF(Q21="","", IF(AND((R21&lt;Q21), (OR((-S21&gt;'Assumptions and Notes'!$C$9),  (-T21 &gt;'Assumptions and Notes'!$D$9)))),3,IF(OR((-S21&gt;'Assumptions and Notes'!$C$9),  (-'Project Status Report'!T21&gt;'Assumptions and Notes'!$D$9)),2,1)))</f>
        <v>1</v>
      </c>
      <c r="V21" s="58" t="str">
        <f>IF($C21="","",IF('Raw Data'!U11=0,"",'Raw Data'!U11))</f>
        <v/>
      </c>
      <c r="W21" s="59" t="str">
        <f>IF($C21="","",IF('Raw Data'!V11=0,"",'Raw Data'!V11))</f>
        <v/>
      </c>
      <c r="X21" s="61">
        <f>IF(C21="","",'Raw Data'!P11)</f>
        <v>1000</v>
      </c>
      <c r="Y21" s="148">
        <f>IF('Raw Data'!Q11="", "", 'Raw Data'!Q11)</f>
        <v>950</v>
      </c>
      <c r="Z21" s="149">
        <f t="shared" si="2"/>
        <v>50</v>
      </c>
      <c r="AA21" s="132">
        <f t="shared" si="3"/>
        <v>0.05</v>
      </c>
      <c r="AB21" s="120">
        <f>IF(X21="","", IF(AND(X21&lt;Y21,  OR((-Z21&gt;'Assumptions and Notes'!$C$10),  (-AA21&gt;'Assumptions and Notes'!$D$10))),3,IF(OR(-Z21&gt;'Assumptions and Notes'!$C$10, -'Project Status Report'!AA21&gt;'Assumptions and Notes'!D16),2,1)))</f>
        <v>1</v>
      </c>
      <c r="AC21" s="58" t="str">
        <f>IF($C21="","",IF('Raw Data'!W11=0,"",'Raw Data'!W11))</f>
        <v/>
      </c>
      <c r="AD21" s="59" t="str">
        <f>IF($C21="","",IF('Raw Data'!X11=0,"",'Raw Data'!X11))</f>
        <v/>
      </c>
    </row>
    <row r="22" spans="1:30">
      <c r="A22" s="163" t="str">
        <f>IF('Raw Data'!A12=0,"",'Raw Data'!A12)</f>
        <v/>
      </c>
      <c r="B22" s="165" t="str">
        <f>IF('Raw Data'!B12=0,"",'Raw Data'!B12)</f>
        <v/>
      </c>
      <c r="C22" s="165" t="str">
        <f>IF('Raw Data'!C12=0,"",'Raw Data'!C12)</f>
        <v/>
      </c>
      <c r="D22" s="165" t="str">
        <f>IF('Raw Data'!D12=0,"",'Raw Data'!D12)</f>
        <v/>
      </c>
      <c r="E22" s="158" t="str">
        <f>IF('Raw Data'!E12=0,"",'Raw Data'!E12)</f>
        <v/>
      </c>
      <c r="F22" s="48" t="str">
        <f>IF('Raw Data'!F12=0,"",'Raw Data'!F12)</f>
        <v/>
      </c>
      <c r="G22" s="50" t="str">
        <f>IF('Raw Data'!G12=0,"",'Raw Data'!G12)</f>
        <v/>
      </c>
      <c r="H22" s="129" t="str">
        <f>IF('Raw Data'!H12=0,"",'Raw Data'!H12)</f>
        <v/>
      </c>
      <c r="I22" s="129" t="str">
        <f>IF('Raw Data'!I12=0,"",'Raw Data'!I12)</f>
        <v/>
      </c>
      <c r="J22" s="129" t="str">
        <f>IF(C22="","", IF('Raw Data'!L12 &gt; 0,'Raw Data'!L12,'Raw Data'!K12))</f>
        <v/>
      </c>
      <c r="K22" s="130" t="str">
        <f>IF('Raw Data'!J12="","", IF('Raw Data'!J12=1, 1, 0))</f>
        <v/>
      </c>
      <c r="L22" s="130" t="str">
        <f t="shared" ref="L22:L29" si="4">IF($C22="","",J22-I22)</f>
        <v/>
      </c>
      <c r="M22" s="132" t="str">
        <f t="shared" ref="M22:M29" si="5">IF($C22="","", (J22-I22)/(I22-G22))</f>
        <v/>
      </c>
      <c r="N22" s="36" t="str">
        <f xml:space="preserve"> IF(K22="","", IF(K22=1,IF(OR((-L22&gt;'Assumptions and Notes'!$C$8), (-M22&gt;'Assumptions and Notes'!$D$8)),3,1),IF(AND((I22&lt;=$B$14),  (OR((($B$14-I22)&gt;'Assumptions and Notes'!$C$8),  (($B$14-I22)/(I22-G22)&gt;'Assumptions and Notes'!$D$8)))),3,IF(OR((-L22&gt;'Assumptions and Notes'!$C$8),  (-M22&gt;'Assumptions and Notes'!$D$8)),2,1))))</f>
        <v/>
      </c>
      <c r="O22" s="63" t="str">
        <f>IF($C22="","",IF('Raw Data'!S12=0,"",'Raw Data'!S12))</f>
        <v/>
      </c>
      <c r="P22" s="64" t="str">
        <f>IF($C22="","",IF('Raw Data'!T12=0,"",'Raw Data'!T12))</f>
        <v/>
      </c>
      <c r="Q22" s="39" t="str">
        <f>IF(C22="","",'Raw Data'!M12)</f>
        <v/>
      </c>
      <c r="R22" s="138" t="str">
        <f>IF('Raw Data'!N12="","",'Raw Data'!N12)</f>
        <v/>
      </c>
      <c r="S22" s="139" t="str">
        <f t="shared" si="0"/>
        <v/>
      </c>
      <c r="T22" s="132" t="str">
        <f t="shared" si="1"/>
        <v/>
      </c>
      <c r="U22" s="52" t="str">
        <f>IF(Q22="","", IF(AND((R22&lt;Q22), (OR((-S22&gt;'Assumptions and Notes'!$C$9),  (-T22 &gt;'Assumptions and Notes'!$D$9)))),3,IF(OR((-S22&gt;'Assumptions and Notes'!$C$9),  (-'Project Status Report'!T22&gt;'Assumptions and Notes'!$D$9)),2,1)))</f>
        <v/>
      </c>
      <c r="V22" s="58" t="str">
        <f>IF($C22="","",IF('Raw Data'!U12=0,"",'Raw Data'!U12))</f>
        <v/>
      </c>
      <c r="W22" s="59" t="str">
        <f>IF($C22="","",IF('Raw Data'!V12=0,"",'Raw Data'!V12))</f>
        <v/>
      </c>
      <c r="X22" s="61" t="str">
        <f>IF(C22="","",'Raw Data'!P12)</f>
        <v/>
      </c>
      <c r="Y22" s="148" t="str">
        <f>IF('Raw Data'!Q12="", "", 'Raw Data'!Q12)</f>
        <v/>
      </c>
      <c r="Z22" s="149" t="str">
        <f t="shared" si="2"/>
        <v/>
      </c>
      <c r="AA22" s="132" t="str">
        <f t="shared" si="3"/>
        <v/>
      </c>
      <c r="AB22" s="120" t="str">
        <f>IF(X22="","", IF(AND(X22&lt;Y22,  OR((-Z22&gt;'Assumptions and Notes'!$C$10),  (-AA22&gt;'Assumptions and Notes'!$D$10))),3,IF(OR(-Z22&gt;'Assumptions and Notes'!$C$10, -'Project Status Report'!AA22&gt;'Assumptions and Notes'!D17),2,1)))</f>
        <v/>
      </c>
      <c r="AC22" s="58" t="str">
        <f>IF($C22="","",IF('Raw Data'!W12=0,"",'Raw Data'!W12))</f>
        <v/>
      </c>
      <c r="AD22" s="59" t="str">
        <f>IF($C22="","",IF('Raw Data'!X12=0,"",'Raw Data'!X12))</f>
        <v/>
      </c>
    </row>
    <row r="23" spans="1:30">
      <c r="A23" s="163" t="str">
        <f>IF('Raw Data'!A13=0,"",'Raw Data'!A13)</f>
        <v/>
      </c>
      <c r="B23" s="165" t="str">
        <f>IF('Raw Data'!B13=0,"",'Raw Data'!B13)</f>
        <v/>
      </c>
      <c r="C23" s="165" t="str">
        <f>IF('Raw Data'!C13=0,"",'Raw Data'!C13)</f>
        <v/>
      </c>
      <c r="D23" s="165" t="str">
        <f>IF('Raw Data'!D13=0,"",'Raw Data'!D13)</f>
        <v/>
      </c>
      <c r="E23" s="158" t="str">
        <f>IF('Raw Data'!E13=0,"",'Raw Data'!E13)</f>
        <v/>
      </c>
      <c r="F23" s="48" t="str">
        <f>IF('Raw Data'!F13=0,"",'Raw Data'!F13)</f>
        <v/>
      </c>
      <c r="G23" s="50" t="str">
        <f>IF('Raw Data'!G13=0,"",'Raw Data'!G13)</f>
        <v/>
      </c>
      <c r="H23" s="129" t="str">
        <f>IF('Raw Data'!H13=0,"",'Raw Data'!H13)</f>
        <v/>
      </c>
      <c r="I23" s="129" t="str">
        <f>IF('Raw Data'!I13=0,"",'Raw Data'!I13)</f>
        <v/>
      </c>
      <c r="J23" s="129" t="str">
        <f>IF(C23="","", IF('Raw Data'!L13 &gt; 0,'Raw Data'!L13,'Raw Data'!K13))</f>
        <v/>
      </c>
      <c r="K23" s="133" t="str">
        <f>IF('Raw Data'!J13="","", IF('Raw Data'!J13=1, 1, 0))</f>
        <v/>
      </c>
      <c r="L23" s="130" t="str">
        <f t="shared" si="4"/>
        <v/>
      </c>
      <c r="M23" s="132" t="str">
        <f t="shared" si="5"/>
        <v/>
      </c>
      <c r="N23" s="36" t="str">
        <f xml:space="preserve"> IF(K23="","", IF(K23=1,IF(OR((-L23&gt;'Assumptions and Notes'!$C$8), (-M23&gt;'Assumptions and Notes'!$D$8)),3,1),IF(AND((I23&lt;=$B$14),  (OR((($B$14-I23)&gt;'Assumptions and Notes'!$C$8),  (($B$14-I23)/(I23-G23)&gt;'Assumptions and Notes'!$D$8)))),3,IF(OR((-L23&gt;'Assumptions and Notes'!$C$8),  (-M23&gt;'Assumptions and Notes'!$D$8)),2,1))))</f>
        <v/>
      </c>
      <c r="O23" s="63" t="str">
        <f>IF($C23="","",IF('Raw Data'!S13=0,"",'Raw Data'!S13))</f>
        <v/>
      </c>
      <c r="P23" s="64" t="str">
        <f>IF($C23="","",IF('Raw Data'!T13=0,"",'Raw Data'!T13))</f>
        <v/>
      </c>
      <c r="Q23" s="39" t="str">
        <f>IF(C23="","",'Raw Data'!M13)</f>
        <v/>
      </c>
      <c r="R23" s="138" t="str">
        <f>IF('Raw Data'!N13="","",'Raw Data'!N13)</f>
        <v/>
      </c>
      <c r="S23" s="139" t="str">
        <f t="shared" si="0"/>
        <v/>
      </c>
      <c r="T23" s="132" t="str">
        <f t="shared" si="1"/>
        <v/>
      </c>
      <c r="U23" s="52" t="str">
        <f>IF(Q23="","", IF(AND((R23&lt;Q23), (OR((-S23&gt;'Assumptions and Notes'!$C$9),  (-T23 &gt;'Assumptions and Notes'!$D$9)))),3,IF(OR((-S23&gt;'Assumptions and Notes'!$C$9),  (-'Project Status Report'!T23&gt;'Assumptions and Notes'!$D$9)),2,1)))</f>
        <v/>
      </c>
      <c r="V23" s="58" t="str">
        <f>IF($C23="","",IF('Raw Data'!U13=0,"",'Raw Data'!U13))</f>
        <v/>
      </c>
      <c r="W23" s="59" t="str">
        <f>IF($C23="","",IF('Raw Data'!V13=0,"",'Raw Data'!V13))</f>
        <v/>
      </c>
      <c r="X23" s="61" t="str">
        <f>IF(C23="","",'Raw Data'!P13)</f>
        <v/>
      </c>
      <c r="Y23" s="148" t="str">
        <f>IF('Raw Data'!Q13="", "", 'Raw Data'!Q13)</f>
        <v/>
      </c>
      <c r="Z23" s="149" t="str">
        <f t="shared" si="2"/>
        <v/>
      </c>
      <c r="AA23" s="132" t="str">
        <f t="shared" si="3"/>
        <v/>
      </c>
      <c r="AB23" s="120" t="str">
        <f>IF(X23="","", IF(AND(X23&lt;Y23,  OR((-Z23&gt;'Assumptions and Notes'!$C$10),  (-AA23&gt;'Assumptions and Notes'!$D$10))),3,IF(OR(-Z23&gt;'Assumptions and Notes'!$C$10, -'Project Status Report'!AA23&gt;'Assumptions and Notes'!D18),2,1)))</f>
        <v/>
      </c>
      <c r="AC23" s="58" t="str">
        <f>IF($C23="","",IF('Raw Data'!W13=0,"",'Raw Data'!W13))</f>
        <v/>
      </c>
      <c r="AD23" s="59" t="str">
        <f>IF($C23="","",IF('Raw Data'!X13=0,"",'Raw Data'!X13))</f>
        <v/>
      </c>
    </row>
    <row r="24" spans="1:30">
      <c r="A24" s="163" t="str">
        <f>IF('Raw Data'!A14=0,"",'Raw Data'!A14)</f>
        <v/>
      </c>
      <c r="B24" s="165" t="str">
        <f>IF('Raw Data'!B14=0,"",'Raw Data'!B14)</f>
        <v/>
      </c>
      <c r="C24" s="165" t="str">
        <f>IF('Raw Data'!C14=0,"",'Raw Data'!C14)</f>
        <v/>
      </c>
      <c r="D24" s="165" t="str">
        <f>IF('Raw Data'!D14=0,"",'Raw Data'!D14)</f>
        <v/>
      </c>
      <c r="E24" s="158" t="str">
        <f>IF('Raw Data'!E14=0,"",'Raw Data'!E14)</f>
        <v/>
      </c>
      <c r="F24" s="48" t="str">
        <f>IF('Raw Data'!F14=0,"",'Raw Data'!F14)</f>
        <v/>
      </c>
      <c r="G24" s="50" t="str">
        <f>IF('Raw Data'!G14=0,"",'Raw Data'!G14)</f>
        <v/>
      </c>
      <c r="H24" s="129" t="str">
        <f>IF('Raw Data'!H14=0,"",'Raw Data'!H14)</f>
        <v/>
      </c>
      <c r="I24" s="129" t="str">
        <f>IF('Raw Data'!I14=0,"",'Raw Data'!I14)</f>
        <v/>
      </c>
      <c r="J24" s="129" t="str">
        <f>IF(C24="","", IF('Raw Data'!L14 &gt; 0,'Raw Data'!L14,'Raw Data'!K14))</f>
        <v/>
      </c>
      <c r="K24" s="133" t="str">
        <f>IF('Raw Data'!J14="","", IF('Raw Data'!J14=1, 1, 0))</f>
        <v/>
      </c>
      <c r="L24" s="130" t="str">
        <f t="shared" si="4"/>
        <v/>
      </c>
      <c r="M24" s="132" t="str">
        <f t="shared" si="5"/>
        <v/>
      </c>
      <c r="N24" s="36" t="str">
        <f xml:space="preserve"> IF(K24="","", IF(K24=1,IF(OR((-L24&gt;'Assumptions and Notes'!$C$8), (-M24&gt;'Assumptions and Notes'!$D$8)),3,1),IF(AND((I24&lt;=$B$14),  (OR((($B$14-I24)&gt;'Assumptions and Notes'!$C$8),  (($B$14-I24)/(I24-G24)&gt;'Assumptions and Notes'!$D$8)))),3,IF(OR((-L24&gt;'Assumptions and Notes'!$C$8),  (-M24&gt;'Assumptions and Notes'!$D$8)),2,1))))</f>
        <v/>
      </c>
      <c r="O24" s="63" t="str">
        <f>IF($C24="","",IF('Raw Data'!S14=0,"",'Raw Data'!S14))</f>
        <v/>
      </c>
      <c r="P24" s="64" t="str">
        <f>IF($C24="","",IF('Raw Data'!T14=0,"",'Raw Data'!T14))</f>
        <v/>
      </c>
      <c r="Q24" s="39" t="str">
        <f>IF(C24="","",'Raw Data'!M14)</f>
        <v/>
      </c>
      <c r="R24" s="138" t="str">
        <f>IF('Raw Data'!N14="","",'Raw Data'!N14)</f>
        <v/>
      </c>
      <c r="S24" s="139" t="str">
        <f t="shared" si="0"/>
        <v/>
      </c>
      <c r="T24" s="132" t="str">
        <f t="shared" si="1"/>
        <v/>
      </c>
      <c r="U24" s="52" t="str">
        <f>IF(Q24="","", IF(AND((R24&lt;Q24), (OR((-S24&gt;'Assumptions and Notes'!$C$9),  (-T24 &gt;'Assumptions and Notes'!$D$9)))),3,IF(OR((-S24&gt;'Assumptions and Notes'!$C$9),  (-'Project Status Report'!T24&gt;'Assumptions and Notes'!$D$9)),2,1)))</f>
        <v/>
      </c>
      <c r="V24" s="58" t="str">
        <f>IF($C24="","",IF('Raw Data'!U14=0,"",'Raw Data'!U14))</f>
        <v/>
      </c>
      <c r="W24" s="59" t="str">
        <f>IF($C24="","",IF('Raw Data'!V14=0,"",'Raw Data'!V14))</f>
        <v/>
      </c>
      <c r="X24" s="61" t="str">
        <f>IF(C24="","",'Raw Data'!P14)</f>
        <v/>
      </c>
      <c r="Y24" s="148" t="str">
        <f>IF('Raw Data'!Q14="", "", 'Raw Data'!Q14)</f>
        <v/>
      </c>
      <c r="Z24" s="149" t="str">
        <f t="shared" si="2"/>
        <v/>
      </c>
      <c r="AA24" s="132" t="str">
        <f t="shared" si="3"/>
        <v/>
      </c>
      <c r="AB24" s="120" t="str">
        <f>IF(X24="","", IF(AND(X24&lt;Y24,  OR((-Z24&gt;'Assumptions and Notes'!$C$10),  (-AA24&gt;'Assumptions and Notes'!$D$10))),3,IF(OR(-Z24&gt;'Assumptions and Notes'!$C$10, -'Project Status Report'!AA24&gt;'Assumptions and Notes'!D19),2,1)))</f>
        <v/>
      </c>
      <c r="AC24" s="58" t="str">
        <f>IF($C24="","",IF('Raw Data'!W14=0,"",'Raw Data'!W14))</f>
        <v/>
      </c>
      <c r="AD24" s="59" t="str">
        <f>IF($C24="","",IF('Raw Data'!X14=0,"",'Raw Data'!X14))</f>
        <v/>
      </c>
    </row>
    <row r="25" spans="1:30">
      <c r="A25" s="163" t="str">
        <f>IF('Raw Data'!A15=0,"",'Raw Data'!A15)</f>
        <v/>
      </c>
      <c r="B25" s="165" t="str">
        <f>IF('Raw Data'!B15=0,"",'Raw Data'!B15)</f>
        <v/>
      </c>
      <c r="C25" s="165" t="str">
        <f>IF('Raw Data'!C15=0,"",'Raw Data'!C15)</f>
        <v/>
      </c>
      <c r="D25" s="165" t="str">
        <f>IF('Raw Data'!D15=0,"",'Raw Data'!D15)</f>
        <v/>
      </c>
      <c r="E25" s="158" t="str">
        <f>IF('Raw Data'!E15=0,"",'Raw Data'!E15)</f>
        <v/>
      </c>
      <c r="F25" s="48" t="str">
        <f>IF('Raw Data'!F15=0,"",'Raw Data'!F15)</f>
        <v/>
      </c>
      <c r="G25" s="50" t="str">
        <f>IF('Raw Data'!G15=0,"",'Raw Data'!G15)</f>
        <v/>
      </c>
      <c r="H25" s="129" t="str">
        <f>IF('Raw Data'!H15=0,"",'Raw Data'!H15)</f>
        <v/>
      </c>
      <c r="I25" s="129" t="str">
        <f>IF('Raw Data'!I15=0,"",'Raw Data'!I15)</f>
        <v/>
      </c>
      <c r="J25" s="129" t="str">
        <f>IF(C25="","", IF('Raw Data'!L15 &gt; 0,'Raw Data'!L15,'Raw Data'!K15))</f>
        <v/>
      </c>
      <c r="K25" s="133" t="str">
        <f>IF('Raw Data'!J15="","", IF('Raw Data'!J15=1, 1, 0))</f>
        <v/>
      </c>
      <c r="L25" s="130" t="str">
        <f t="shared" si="4"/>
        <v/>
      </c>
      <c r="M25" s="132" t="str">
        <f t="shared" si="5"/>
        <v/>
      </c>
      <c r="N25" s="36" t="str">
        <f xml:space="preserve"> IF(K25="","", IF(K25=1,IF(OR((-L25&gt;'Assumptions and Notes'!$C$8), (-M25&gt;'Assumptions and Notes'!$D$8)),3,1),IF(AND((I25&lt;=$B$14),  (OR((($B$14-I25)&gt;'Assumptions and Notes'!$C$8),  (($B$14-I25)/(I25-G25)&gt;'Assumptions and Notes'!$D$8)))),3,IF(OR((-L25&gt;'Assumptions and Notes'!$C$8),  (-M25&gt;'Assumptions and Notes'!$D$8)),2,1))))</f>
        <v/>
      </c>
      <c r="O25" s="63" t="str">
        <f>IF($C25="","",IF('Raw Data'!S15=0,"",'Raw Data'!S15))</f>
        <v/>
      </c>
      <c r="P25" s="64" t="str">
        <f>IF($C25="","",IF('Raw Data'!T15=0,"",'Raw Data'!T15))</f>
        <v/>
      </c>
      <c r="Q25" s="39" t="str">
        <f>IF(C25="","",'Raw Data'!M15)</f>
        <v/>
      </c>
      <c r="R25" s="138" t="str">
        <f>IF('Raw Data'!N15="","",'Raw Data'!N15)</f>
        <v/>
      </c>
      <c r="S25" s="139" t="str">
        <f t="shared" si="0"/>
        <v/>
      </c>
      <c r="T25" s="132" t="str">
        <f t="shared" si="1"/>
        <v/>
      </c>
      <c r="U25" s="52" t="str">
        <f>IF(Q25="","", IF(AND((R25&lt;Q25), (OR((-S25&gt;'Assumptions and Notes'!$C$9),  (-T25 &gt;'Assumptions and Notes'!$D$9)))),3,IF(OR((-S25&gt;'Assumptions and Notes'!$C$9),  (-'Project Status Report'!T25&gt;'Assumptions and Notes'!$D$9)),2,1)))</f>
        <v/>
      </c>
      <c r="V25" s="58" t="str">
        <f>IF($C25="","",IF('Raw Data'!U15=0,"",'Raw Data'!U15))</f>
        <v/>
      </c>
      <c r="W25" s="59" t="str">
        <f>IF($C25="","",IF('Raw Data'!V15=0,"",'Raw Data'!V15))</f>
        <v/>
      </c>
      <c r="X25" s="61" t="str">
        <f>IF(C25="","",'Raw Data'!P15)</f>
        <v/>
      </c>
      <c r="Y25" s="148" t="str">
        <f>IF('Raw Data'!Q15="", "", 'Raw Data'!Q15)</f>
        <v/>
      </c>
      <c r="Z25" s="149" t="str">
        <f t="shared" si="2"/>
        <v/>
      </c>
      <c r="AA25" s="132" t="str">
        <f t="shared" si="3"/>
        <v/>
      </c>
      <c r="AB25" s="120" t="str">
        <f>IF(X25="","", IF(AND(X25&lt;Y25,  OR((-Z25&gt;'Assumptions and Notes'!$C$10),  (-AA25&gt;'Assumptions and Notes'!$D$10))),3,IF(OR(-Z25&gt;'Assumptions and Notes'!$C$10, -'Project Status Report'!AA25&gt;'Assumptions and Notes'!D20),2,1)))</f>
        <v/>
      </c>
      <c r="AC25" s="58" t="str">
        <f>IF($C25="","",IF('Raw Data'!W15=0,"",'Raw Data'!W15))</f>
        <v/>
      </c>
      <c r="AD25" s="59" t="str">
        <f>IF($C25="","",IF('Raw Data'!X15=0,"",'Raw Data'!X15))</f>
        <v/>
      </c>
    </row>
    <row r="26" spans="1:30" s="1" customFormat="1">
      <c r="A26" s="163" t="str">
        <f>IF('Raw Data'!A16=0,"",'Raw Data'!A16)</f>
        <v/>
      </c>
      <c r="B26" s="165" t="str">
        <f>IF('Raw Data'!B16=0,"",'Raw Data'!B16)</f>
        <v/>
      </c>
      <c r="C26" s="165" t="str">
        <f>IF('Raw Data'!C16=0,"",'Raw Data'!C16)</f>
        <v/>
      </c>
      <c r="D26" s="165" t="str">
        <f>IF('Raw Data'!D16=0,"",'Raw Data'!D16)</f>
        <v/>
      </c>
      <c r="E26" s="158" t="str">
        <f>IF('Raw Data'!E16=0,"",'Raw Data'!E16)</f>
        <v/>
      </c>
      <c r="F26" s="48" t="str">
        <f>IF('Raw Data'!F16=0,"",'Raw Data'!F16)</f>
        <v/>
      </c>
      <c r="G26" s="50" t="str">
        <f>IF('Raw Data'!G16=0,"",'Raw Data'!G16)</f>
        <v/>
      </c>
      <c r="H26" s="129" t="str">
        <f>IF('Raw Data'!H16=0,"",'Raw Data'!H16)</f>
        <v/>
      </c>
      <c r="I26" s="129" t="str">
        <f>IF('Raw Data'!I16=0,"",'Raw Data'!I16)</f>
        <v/>
      </c>
      <c r="J26" s="129" t="str">
        <f>IF(C26="","", IF('Raw Data'!L16 &gt; 0,'Raw Data'!L16,'Raw Data'!K16))</f>
        <v/>
      </c>
      <c r="K26" s="133" t="str">
        <f>IF('Raw Data'!J16="","", IF('Raw Data'!J16=1, 1, 0))</f>
        <v/>
      </c>
      <c r="L26" s="130" t="str">
        <f>IF($C26="","",J26-I26)</f>
        <v/>
      </c>
      <c r="M26" s="132" t="str">
        <f>IF($C26="","", (J26-I26)/(I26-G26))</f>
        <v/>
      </c>
      <c r="N26" s="36" t="str">
        <f xml:space="preserve"> IF(K26="","", IF(K26=1,IF(OR((-L26&gt;'Assumptions and Notes'!$C$8), (-M26&gt;'Assumptions and Notes'!$D$8)),3,1),IF(AND((I26&lt;=$B$14),  (OR((($B$14-I26)&gt;'Assumptions and Notes'!$C$8),  (($B$14-I26)/(I26-G26)&gt;'Assumptions and Notes'!$D$8)))),3,IF(OR((-L26&gt;'Assumptions and Notes'!$C$8),  (-M26&gt;'Assumptions and Notes'!$D$8)),2,1))))</f>
        <v/>
      </c>
      <c r="O26" s="63" t="str">
        <f>IF($C26="","",IF('Raw Data'!S16=0,"",'Raw Data'!S16))</f>
        <v/>
      </c>
      <c r="P26" s="64" t="str">
        <f>IF($C26="","",IF('Raw Data'!T16=0,"",'Raw Data'!T16))</f>
        <v/>
      </c>
      <c r="Q26" s="39" t="str">
        <f>IF(C26="","",'Raw Data'!M16)</f>
        <v/>
      </c>
      <c r="R26" s="138" t="str">
        <f>IF('Raw Data'!N16="","",'Raw Data'!N16)</f>
        <v/>
      </c>
      <c r="S26" s="139" t="str">
        <f>IF(Q26="","",Q26-R26)</f>
        <v/>
      </c>
      <c r="T26" s="132" t="str">
        <f>IF(Q26="", "", S26/Q26)</f>
        <v/>
      </c>
      <c r="U26" s="52" t="str">
        <f>IF(Q26="","", IF(AND((R26&lt;Q26), (OR((-S26&gt;'Assumptions and Notes'!$C$9),  (-T26 &gt;'Assumptions and Notes'!$D$9)))),3,IF(OR((-S26&gt;'Assumptions and Notes'!$C$9),  (-'Project Status Report'!T26&gt;'Assumptions and Notes'!$D$9)),2,1)))</f>
        <v/>
      </c>
      <c r="V26" s="58" t="str">
        <f>IF($C26="","",IF('Raw Data'!U16=0,"",'Raw Data'!U16))</f>
        <v/>
      </c>
      <c r="W26" s="59" t="str">
        <f>IF($C26="","",IF('Raw Data'!V16=0,"",'Raw Data'!V16))</f>
        <v/>
      </c>
      <c r="X26" s="61" t="str">
        <f>IF(C26="","",'Raw Data'!P16)</f>
        <v/>
      </c>
      <c r="Y26" s="148" t="str">
        <f>IF('Raw Data'!Q16="", "", 'Raw Data'!Q16)</f>
        <v/>
      </c>
      <c r="Z26" s="149" t="str">
        <f>IF(X26="", "", X26-Y26)</f>
        <v/>
      </c>
      <c r="AA26" s="132" t="str">
        <f>IF(X26="","", Z26/X26)</f>
        <v/>
      </c>
      <c r="AB26" s="120" t="str">
        <f>IF(X26="","", IF(AND(X26&lt;Y26,  OR((-Z26&gt;'Assumptions and Notes'!$C$10),  (-AA26&gt;'Assumptions and Notes'!$D$10))),3,IF(OR(-Z26&gt;'Assumptions and Notes'!$C$10, -'Project Status Report'!AA26&gt;'Assumptions and Notes'!D21),2,1)))</f>
        <v/>
      </c>
      <c r="AC26" s="58" t="str">
        <f>IF($C26="","",IF('Raw Data'!W16=0,"",'Raw Data'!W16))</f>
        <v/>
      </c>
      <c r="AD26" s="59" t="str">
        <f>IF($C26="","",IF('Raw Data'!X16=0,"",'Raw Data'!X16))</f>
        <v/>
      </c>
    </row>
    <row r="27" spans="1:30">
      <c r="A27" s="163" t="str">
        <f>IF('Raw Data'!B17=0,"",'Raw Data'!B17)</f>
        <v/>
      </c>
      <c r="B27" s="165" t="str">
        <f>IF('Raw Data'!B17=0,"",'Raw Data'!B17)</f>
        <v/>
      </c>
      <c r="C27" s="165" t="str">
        <f>IF('Raw Data'!C17=0,"",'Raw Data'!C17)</f>
        <v/>
      </c>
      <c r="D27" s="165" t="str">
        <f>IF('Raw Data'!D17=0,"",'Raw Data'!D17)</f>
        <v/>
      </c>
      <c r="E27" s="158" t="str">
        <f>IF('Raw Data'!E17=0,"",'Raw Data'!E17)</f>
        <v/>
      </c>
      <c r="F27" s="48" t="str">
        <f>IF('Raw Data'!F17=0,"",'Raw Data'!F17)</f>
        <v/>
      </c>
      <c r="G27" s="50" t="str">
        <f>IF('Raw Data'!G17=0,"",'Raw Data'!G17)</f>
        <v/>
      </c>
      <c r="H27" s="129" t="str">
        <f>IF('Raw Data'!H16=0,"",'Raw Data'!H16)</f>
        <v/>
      </c>
      <c r="I27" s="129" t="str">
        <f>IF('Raw Data'!I17=0,"",'Raw Data'!I17)</f>
        <v/>
      </c>
      <c r="J27" s="129" t="str">
        <f>IF(C27="","", IF('Raw Data'!L17 &gt; 0,'Raw Data'!L17,'Raw Data'!K17))</f>
        <v/>
      </c>
      <c r="K27" s="133" t="str">
        <f>IF('Raw Data'!J17="","", IF('Raw Data'!J17=1, 1, 0))</f>
        <v/>
      </c>
      <c r="L27" s="130" t="str">
        <f t="shared" si="4"/>
        <v/>
      </c>
      <c r="M27" s="132" t="str">
        <f t="shared" si="5"/>
        <v/>
      </c>
      <c r="N27" s="36" t="str">
        <f xml:space="preserve"> IF(K27="","", IF(K27=1,IF(OR((-L27&gt;'Assumptions and Notes'!$C$8), (-M27&gt;'Assumptions and Notes'!$D$8)),3,1),IF(AND((I27&lt;=$B$14),  (OR((($B$14-I27)&gt;'Assumptions and Notes'!$C$8),  (($B$14-I27)/(I27-G27)&gt;'Assumptions and Notes'!$D$8)))),3,IF(OR((-L27&gt;'Assumptions and Notes'!$C$8),  (-M27&gt;'Assumptions and Notes'!$D$8)),2,1))))</f>
        <v/>
      </c>
      <c r="O27" s="63" t="str">
        <f>IF($C27="","",IF('Raw Data'!S17=0,"",'Raw Data'!S17))</f>
        <v/>
      </c>
      <c r="P27" s="64" t="str">
        <f>IF($C27="","",IF('Raw Data'!T17=0,"",'Raw Data'!T17))</f>
        <v/>
      </c>
      <c r="Q27" s="39" t="str">
        <f>IF(C27="","",'Raw Data'!M17)</f>
        <v/>
      </c>
      <c r="R27" s="138" t="str">
        <f>IF('Raw Data'!N17="","",'Raw Data'!N17)</f>
        <v/>
      </c>
      <c r="S27" s="139" t="str">
        <f t="shared" si="0"/>
        <v/>
      </c>
      <c r="T27" s="132" t="str">
        <f t="shared" si="1"/>
        <v/>
      </c>
      <c r="U27" s="52" t="str">
        <f>IF(Q27="","", IF(AND((R27&lt;Q27), (OR((-S27&gt;'Assumptions and Notes'!$C$9),  (-T27 &gt;'Assumptions and Notes'!$D$9)))),3,IF(OR((-S27&gt;'Assumptions and Notes'!$C$9),  (-'Project Status Report'!T27&gt;'Assumptions and Notes'!$D$9)),2,1)))</f>
        <v/>
      </c>
      <c r="V27" s="58" t="str">
        <f>IF($C27="","",IF('Raw Data'!U17=0,"",'Raw Data'!U17))</f>
        <v/>
      </c>
      <c r="W27" s="59" t="str">
        <f>IF($C27="","",IF('Raw Data'!V17=0,"",'Raw Data'!V17))</f>
        <v/>
      </c>
      <c r="X27" s="61" t="str">
        <f>IF(C27="","",'Raw Data'!P17)</f>
        <v/>
      </c>
      <c r="Y27" s="148" t="str">
        <f>IF('Raw Data'!Q17="", "", 'Raw Data'!Q17)</f>
        <v/>
      </c>
      <c r="Z27" s="149" t="str">
        <f t="shared" si="2"/>
        <v/>
      </c>
      <c r="AA27" s="132" t="str">
        <f t="shared" si="3"/>
        <v/>
      </c>
      <c r="AB27" s="120" t="str">
        <f>IF(X27="","", IF(AND(X27&lt;Y27,  OR((-Z27&gt;'Assumptions and Notes'!$C$10),  (-AA27&gt;'Assumptions and Notes'!$D$10))),3,IF(OR(-Z27&gt;'Assumptions and Notes'!$C$10, -'Project Status Report'!AA27&gt;'Assumptions and Notes'!D21),2,1)))</f>
        <v/>
      </c>
      <c r="AC27" s="58" t="str">
        <f>IF($C27="","",IF('Raw Data'!W17=0,"",'Raw Data'!W17))</f>
        <v/>
      </c>
      <c r="AD27" s="59" t="str">
        <f>IF($C27="","",IF('Raw Data'!X17=0,"",'Raw Data'!X17))</f>
        <v/>
      </c>
    </row>
    <row r="28" spans="1:30">
      <c r="A28" s="163" t="str">
        <f>IF('Raw Data'!B18=0,"",'Raw Data'!B18)</f>
        <v/>
      </c>
      <c r="B28" s="165" t="str">
        <f>IF('Raw Data'!B18=0,"",'Raw Data'!B18)</f>
        <v/>
      </c>
      <c r="C28" s="165" t="str">
        <f>IF('Raw Data'!C18=0,"",'Raw Data'!C18)</f>
        <v/>
      </c>
      <c r="D28" s="165" t="str">
        <f>IF('Raw Data'!D18=0,"",'Raw Data'!D18)</f>
        <v/>
      </c>
      <c r="E28" s="158" t="str">
        <f>IF('Raw Data'!E18=0,"",'Raw Data'!E18)</f>
        <v/>
      </c>
      <c r="F28" s="48" t="str">
        <f>IF('Raw Data'!F18=0,"",'Raw Data'!F18)</f>
        <v/>
      </c>
      <c r="G28" s="50" t="str">
        <f>IF('Raw Data'!G18=0,"",'Raw Data'!G18)</f>
        <v/>
      </c>
      <c r="H28" s="129" t="str">
        <f>IF('Raw Data'!H17=0,"",'Raw Data'!H17)</f>
        <v/>
      </c>
      <c r="I28" s="129" t="str">
        <f>IF('Raw Data'!I17=0,"",'Raw Data'!I17)</f>
        <v/>
      </c>
      <c r="J28" s="129" t="str">
        <f>IF(C28="","", IF('Raw Data'!L18 &gt; 0,'Raw Data'!L18,'Raw Data'!K18))</f>
        <v/>
      </c>
      <c r="K28" s="133" t="str">
        <f>IF('Raw Data'!J18="","", IF('Raw Data'!J18=1, 1, 0))</f>
        <v/>
      </c>
      <c r="L28" s="130" t="str">
        <f t="shared" si="4"/>
        <v/>
      </c>
      <c r="M28" s="132" t="str">
        <f t="shared" si="5"/>
        <v/>
      </c>
      <c r="N28" s="36" t="str">
        <f xml:space="preserve"> IF(K28="","", IF(K28=1,IF(OR((-L28&gt;'Assumptions and Notes'!$C$8), (-M28&gt;'Assumptions and Notes'!$D$8)),3,1),IF(AND((I28&lt;=$B$14),  (OR((($B$14-I28)&gt;'Assumptions and Notes'!$C$8),  (($B$14-I28)/(I28-G28)&gt;'Assumptions and Notes'!$D$8)))),3,IF(OR((-L28&gt;'Assumptions and Notes'!$C$8),  (-M28&gt;'Assumptions and Notes'!$D$8)),2,1))))</f>
        <v/>
      </c>
      <c r="O28" s="63" t="str">
        <f>IF($C28="","",IF('Raw Data'!S18=0,"",'Raw Data'!S18))</f>
        <v/>
      </c>
      <c r="P28" s="64" t="str">
        <f>IF($C28="","",IF('Raw Data'!T18=0,"",'Raw Data'!T18))</f>
        <v/>
      </c>
      <c r="Q28" s="39" t="str">
        <f>IF(C28="","",'Raw Data'!M18)</f>
        <v/>
      </c>
      <c r="R28" s="138" t="str">
        <f>IF('Raw Data'!N18="","",'Raw Data'!N18)</f>
        <v/>
      </c>
      <c r="S28" s="139" t="str">
        <f t="shared" si="0"/>
        <v/>
      </c>
      <c r="T28" s="132" t="str">
        <f t="shared" si="1"/>
        <v/>
      </c>
      <c r="U28" s="52" t="str">
        <f>IF(Q28="","", IF(AND((R28&lt;Q28), (OR((-S28&gt;'Assumptions and Notes'!$C$9),  (-T28 &gt;'Assumptions and Notes'!$D$9)))),3,IF(OR((-S28&gt;'Assumptions and Notes'!$C$9),  (-'Project Status Report'!T28&gt;'Assumptions and Notes'!$D$9)),2,1)))</f>
        <v/>
      </c>
      <c r="V28" s="58" t="str">
        <f>IF($C28="","",IF('Raw Data'!U18=0,"",'Raw Data'!U18))</f>
        <v/>
      </c>
      <c r="W28" s="59" t="str">
        <f>IF($C28="","",IF('Raw Data'!V18=0,"",'Raw Data'!V18))</f>
        <v/>
      </c>
      <c r="X28" s="61" t="str">
        <f>IF(C28="","",'Raw Data'!P18)</f>
        <v/>
      </c>
      <c r="Y28" s="148" t="str">
        <f>IF('Raw Data'!Q18="", "", 'Raw Data'!Q18)</f>
        <v/>
      </c>
      <c r="Z28" s="149" t="str">
        <f t="shared" si="2"/>
        <v/>
      </c>
      <c r="AA28" s="132" t="str">
        <f t="shared" si="3"/>
        <v/>
      </c>
      <c r="AB28" s="120" t="str">
        <f>IF(X28="","", IF(AND(X28&lt;Y28,  OR((-Z28&gt;'Assumptions and Notes'!$C$10),  (-AA28&gt;'Assumptions and Notes'!$D$10))),3,IF(OR(-Z28&gt;'Assumptions and Notes'!$C$10, -'Project Status Report'!AA28&gt;'Assumptions and Notes'!D22),2,1)))</f>
        <v/>
      </c>
      <c r="AC28" s="58" t="str">
        <f>IF($C28="","",IF('Raw Data'!W18=0,"",'Raw Data'!W18))</f>
        <v/>
      </c>
      <c r="AD28" s="59" t="str">
        <f>IF($C28="","",IF('Raw Data'!X18=0,"",'Raw Data'!X18))</f>
        <v/>
      </c>
    </row>
    <row r="29" spans="1:30" ht="15.75" thickBot="1">
      <c r="A29" s="164" t="str">
        <f>IF('Raw Data'!B19=0,"",'Raw Data'!B19)</f>
        <v/>
      </c>
      <c r="B29" s="166" t="str">
        <f>IF('Raw Data'!B19=0,"",'Raw Data'!B19)</f>
        <v/>
      </c>
      <c r="C29" s="166" t="str">
        <f>IF('Raw Data'!C19=0,"",'Raw Data'!C19)</f>
        <v/>
      </c>
      <c r="D29" s="166" t="str">
        <f>IF('Raw Data'!D19=0,"",'Raw Data'!D19)</f>
        <v/>
      </c>
      <c r="E29" s="167" t="str">
        <f>IF('Raw Data'!E19=0,"",'Raw Data'!E19)</f>
        <v/>
      </c>
      <c r="F29" s="49" t="str">
        <f>IF('Raw Data'!F19=0,"",'Raw Data'!F19)</f>
        <v/>
      </c>
      <c r="G29" s="51" t="str">
        <f>IF('Raw Data'!G19=0,"",'Raw Data'!G19)</f>
        <v/>
      </c>
      <c r="H29" s="134" t="str">
        <f>IF('Raw Data'!H18=0,"",'Raw Data'!H18)</f>
        <v/>
      </c>
      <c r="I29" s="134" t="str">
        <f>IF('Raw Data'!I18=0,"",'Raw Data'!I18)</f>
        <v/>
      </c>
      <c r="J29" s="134" t="str">
        <f>IF(C29="","", IF('Raw Data'!L19 &gt; 0,'Raw Data'!L19,'Raw Data'!K19))</f>
        <v/>
      </c>
      <c r="K29" s="135" t="str">
        <f>IF('Raw Data'!J19="","", IF('Raw Data'!J19=1, 1, 0))</f>
        <v/>
      </c>
      <c r="L29" s="136" t="str">
        <f t="shared" si="4"/>
        <v/>
      </c>
      <c r="M29" s="137" t="str">
        <f t="shared" si="5"/>
        <v/>
      </c>
      <c r="N29" s="168" t="str">
        <f xml:space="preserve"> IF(K29="","", IF(K29=1,IF(OR((-L29&gt;'Assumptions and Notes'!$C$8), (-M29&gt;'Assumptions and Notes'!$D$8)),3,1),IF(AND((I29&lt;=$B$14),  (OR((($B$14-I29)&gt;'Assumptions and Notes'!$C$8),  (($B$14-I29)/(I29-G29)&gt;'Assumptions and Notes'!$D$8)))),3,IF(OR((-L29&gt;'Assumptions and Notes'!$C$8),  (-M29&gt;'Assumptions and Notes'!$D$8)),2,1))))</f>
        <v/>
      </c>
      <c r="O29" s="54" t="str">
        <f>IF($C29="","",IF('Raw Data'!S19=0,"",'Raw Data'!S19))</f>
        <v/>
      </c>
      <c r="P29" s="65" t="str">
        <f>IF($C29="","",IF('Raw Data'!T19=0,"",'Raw Data'!T19))</f>
        <v/>
      </c>
      <c r="Q29" s="169" t="str">
        <f>IF(C29="","",'Raw Data'!M19)</f>
        <v/>
      </c>
      <c r="R29" s="140" t="str">
        <f>IF('Raw Data'!N19="","",'Raw Data'!N19)</f>
        <v/>
      </c>
      <c r="S29" s="141" t="str">
        <f t="shared" si="0"/>
        <v/>
      </c>
      <c r="T29" s="142" t="str">
        <f t="shared" si="1"/>
        <v/>
      </c>
      <c r="U29" s="53" t="str">
        <f>IF(Q29="","", IF(AND((R29&lt;Q29), (OR((-S29&gt;'Assumptions and Notes'!$C$9),  (-T29 &gt;'Assumptions and Notes'!$D$9)))),3,IF(OR((-S29&gt;'Assumptions and Notes'!$C$9),  (-'Project Status Report'!T29&gt;'Assumptions and Notes'!$D$9)),2,1)))</f>
        <v/>
      </c>
      <c r="V29" s="56" t="str">
        <f>IF($C29="","",IF('Raw Data'!U19=0,"",'Raw Data'!U19))</f>
        <v/>
      </c>
      <c r="W29" s="60" t="str">
        <f>IF($C29="","",IF('Raw Data'!V19=0,"",'Raw Data'!V19))</f>
        <v/>
      </c>
      <c r="X29" s="62" t="str">
        <f>IF(C29="","",'Raw Data'!P19)</f>
        <v/>
      </c>
      <c r="Y29" s="150" t="str">
        <f>IF('Raw Data'!Q19="", "", 'Raw Data'!Q19)</f>
        <v/>
      </c>
      <c r="Z29" s="151" t="str">
        <f t="shared" si="2"/>
        <v/>
      </c>
      <c r="AA29" s="137" t="str">
        <f t="shared" si="3"/>
        <v/>
      </c>
      <c r="AB29" s="170" t="str">
        <f>IF(X29="","", IF(AND(X29&lt;Y29,  OR((-Z29&gt;'Assumptions and Notes'!$C$10),  (-AA29&gt;'Assumptions and Notes'!$D$10))),3,IF(OR(-Z29&gt;'Assumptions and Notes'!$C$10, -'Project Status Report'!AA29&gt;'Assumptions and Notes'!D23),2,1)))</f>
        <v/>
      </c>
      <c r="AC29" s="56" t="str">
        <f>IF($C29="","",IF('Raw Data'!W19=0,"",'Raw Data'!W19))</f>
        <v/>
      </c>
      <c r="AD29" s="60" t="str">
        <f>IF($C29="","",IF('Raw Data'!X19=0,"",'Raw Data'!X19))</f>
        <v/>
      </c>
    </row>
  </sheetData>
  <mergeCells count="4">
    <mergeCell ref="X13:AB13"/>
    <mergeCell ref="G13:N13"/>
    <mergeCell ref="Q17:U17"/>
    <mergeCell ref="X17:AB17"/>
  </mergeCells>
  <conditionalFormatting sqref="N19:N29 U19:U29 AB19:AB29 N15:N16 U15:U16 AB15:AB16">
    <cfRule type="cellIs" dxfId="67" priority="31" operator="between">
      <formula>2.5</formula>
      <formula>3</formula>
    </cfRule>
    <cfRule type="cellIs" dxfId="66" priority="32" operator="between">
      <formula>1.5</formula>
      <formula>2.5</formula>
    </cfRule>
    <cfRule type="cellIs" dxfId="65" priority="33" operator="between">
      <formula>1</formula>
      <formula>1.5</formula>
    </cfRule>
  </conditionalFormatting>
  <conditionalFormatting sqref="AB19:AB29">
    <cfRule type="cellIs" dxfId="64" priority="64" operator="equal">
      <formula>1</formula>
    </cfRule>
    <cfRule type="cellIs" dxfId="63" priority="65" operator="equal">
      <formula>2</formula>
    </cfRule>
    <cfRule type="cellIs" dxfId="62" priority="66" operator="equal">
      <formula>3</formula>
    </cfRule>
  </conditionalFormatting>
  <conditionalFormatting sqref="AB19:AB29 AB15:AB16">
    <cfRule type="cellIs" dxfId="61" priority="53" operator="between">
      <formula>1</formula>
      <formula>1.5</formula>
    </cfRule>
    <cfRule type="cellIs" dxfId="60" priority="54" operator="between">
      <formula>1.5</formula>
      <formula>2.5</formula>
    </cfRule>
    <cfRule type="cellIs" dxfId="59" priority="55" operator="between">
      <formula>2.5</formula>
      <formula>3</formula>
    </cfRule>
  </conditionalFormatting>
  <conditionalFormatting sqref="N19:N29">
    <cfRule type="cellIs" dxfId="58" priority="71" operator="equal">
      <formula>2</formula>
    </cfRule>
    <cfRule type="cellIs" dxfId="57" priority="72" operator="equal">
      <formula>1</formula>
    </cfRule>
    <cfRule type="cellIs" dxfId="56" priority="73" operator="equal">
      <formula>3</formula>
    </cfRule>
  </conditionalFormatting>
  <conditionalFormatting sqref="U19:U29 AB19:AB29">
    <cfRule type="cellIs" dxfId="55" priority="67" operator="equal">
      <formula>3</formula>
    </cfRule>
    <cfRule type="cellIs" dxfId="54" priority="68" operator="equal">
      <formula>2</formula>
    </cfRule>
    <cfRule type="cellIs" dxfId="53" priority="69" operator="equal">
      <formula>1</formula>
    </cfRule>
    <cfRule type="cellIs" dxfId="52" priority="70" operator="equal">
      <formula>3</formula>
    </cfRule>
  </conditionalFormatting>
  <pageMargins left="0.7" right="0.7" top="0.75" bottom="0.75" header="0.3" footer="0.3"/>
  <pageSetup orientation="portrait" horizontalDpi="4294967293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7:C23"/>
  <sheetViews>
    <sheetView showGridLines="0" workbookViewId="0">
      <selection activeCell="F14" sqref="F14"/>
    </sheetView>
  </sheetViews>
  <sheetFormatPr defaultRowHeight="15"/>
  <cols>
    <col min="1" max="1" width="15.28515625" customWidth="1"/>
    <col min="2" max="2" width="12" customWidth="1"/>
    <col min="3" max="3" width="15.42578125" customWidth="1"/>
    <col min="4" max="4" width="17.7109375" customWidth="1"/>
  </cols>
  <sheetData>
    <row r="17" spans="1:3" ht="36" customHeight="1" thickBot="1"/>
    <row r="18" spans="1:3">
      <c r="A18" s="104" t="s">
        <v>22</v>
      </c>
      <c r="B18" s="104" t="s">
        <v>73</v>
      </c>
    </row>
    <row r="19" spans="1:3">
      <c r="A19" s="188" t="s">
        <v>0</v>
      </c>
      <c r="B19" s="188" t="s">
        <v>73</v>
      </c>
    </row>
    <row r="20" spans="1:3" ht="15.75" thickBot="1">
      <c r="B20" s="32"/>
    </row>
    <row r="21" spans="1:3">
      <c r="A21" s="188" t="s">
        <v>74</v>
      </c>
      <c r="B21" s="104"/>
      <c r="C21" s="104"/>
    </row>
    <row r="22" spans="1:3">
      <c r="A22" s="188" t="s">
        <v>75</v>
      </c>
      <c r="B22" s="188" t="s">
        <v>76</v>
      </c>
      <c r="C22" s="188" t="s">
        <v>77</v>
      </c>
    </row>
    <row r="23" spans="1:3">
      <c r="A23" s="91">
        <v>-0.25423728813559321</v>
      </c>
      <c r="B23" s="91">
        <v>0.71666666666666667</v>
      </c>
      <c r="C23" s="91">
        <v>-7.4999999999999997E-2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8" tint="0.59999389629810485"/>
  </sheetPr>
  <dimension ref="A17:B22"/>
  <sheetViews>
    <sheetView showGridLines="0" workbookViewId="0">
      <selection activeCell="C29" sqref="C29"/>
    </sheetView>
  </sheetViews>
  <sheetFormatPr defaultRowHeight="15"/>
  <cols>
    <col min="1" max="1" width="21.7109375" customWidth="1"/>
    <col min="2" max="2" width="6.5703125" customWidth="1"/>
    <col min="3" max="3" width="24.85546875" customWidth="1"/>
  </cols>
  <sheetData>
    <row r="17" spans="1:2" ht="36" customHeight="1" thickBot="1"/>
    <row r="18" spans="1:2" ht="15.75" thickBot="1">
      <c r="A18" s="104" t="s">
        <v>22</v>
      </c>
      <c r="B18" s="104" t="s">
        <v>73</v>
      </c>
    </row>
    <row r="19" spans="1:2">
      <c r="A19" s="104" t="s">
        <v>0</v>
      </c>
      <c r="B19" s="104" t="s">
        <v>73</v>
      </c>
    </row>
    <row r="20" spans="1:2" ht="15.75" thickBot="1">
      <c r="A20" s="32"/>
      <c r="B20" s="32"/>
    </row>
    <row r="21" spans="1:2">
      <c r="A21" s="23" t="s">
        <v>78</v>
      </c>
    </row>
    <row r="22" spans="1:2">
      <c r="A22" s="189">
        <v>-500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4" tint="0.39997558519241921"/>
  </sheetPr>
  <dimension ref="A15:B19"/>
  <sheetViews>
    <sheetView showGridLines="0" workbookViewId="0">
      <selection activeCell="D22" sqref="D22"/>
    </sheetView>
  </sheetViews>
  <sheetFormatPr defaultRowHeight="15"/>
  <cols>
    <col min="1" max="1" width="8.85546875" customWidth="1"/>
    <col min="2" max="2" width="6.5703125" customWidth="1"/>
    <col min="3" max="3" width="6.140625" customWidth="1"/>
    <col min="4" max="4" width="5" bestFit="1" customWidth="1"/>
    <col min="5" max="5" width="13.42578125" bestFit="1" customWidth="1"/>
  </cols>
  <sheetData>
    <row r="15" spans="1:2" ht="27.95" customHeight="1" thickBot="1"/>
    <row r="16" spans="1:2" ht="15.75" thickBot="1">
      <c r="A16" s="104" t="s">
        <v>22</v>
      </c>
      <c r="B16" s="104" t="s">
        <v>73</v>
      </c>
    </row>
    <row r="17" spans="1:2">
      <c r="A17" s="104" t="s">
        <v>0</v>
      </c>
      <c r="B17" s="104" t="s">
        <v>73</v>
      </c>
    </row>
    <row r="18" spans="1:2" ht="15.75" thickBot="1">
      <c r="A18" s="23"/>
      <c r="B18" s="23"/>
    </row>
    <row r="19" spans="1:2">
      <c r="A19" s="209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theme="5"/>
  </sheetPr>
  <dimension ref="A1:D21"/>
  <sheetViews>
    <sheetView showGridLines="0" workbookViewId="0"/>
  </sheetViews>
  <sheetFormatPr defaultRowHeight="15"/>
  <cols>
    <col min="1" max="2" width="18.7109375" customWidth="1"/>
    <col min="3" max="4" width="18.7109375" style="3" customWidth="1"/>
  </cols>
  <sheetData>
    <row r="1" spans="1:4" s="1" customFormat="1">
      <c r="A1" s="69" t="str">
        <f>'Raw Data'!A1</f>
        <v>[Company name]</v>
      </c>
      <c r="B1" s="162"/>
      <c r="C1" s="3"/>
      <c r="D1" s="3"/>
    </row>
    <row r="2" spans="1:4" s="1" customFormat="1">
      <c r="A2" s="70" t="s">
        <v>89</v>
      </c>
      <c r="B2" s="160">
        <f ca="1">TODAY()</f>
        <v>39030</v>
      </c>
      <c r="C2" s="3"/>
      <c r="D2" s="3"/>
    </row>
    <row r="3" spans="1:4" s="1" customFormat="1">
      <c r="A3" s="70" t="s">
        <v>90</v>
      </c>
      <c r="B3" s="70" t="str">
        <f>'Raw Data'!B3</f>
        <v>[Name]</v>
      </c>
      <c r="C3" s="3"/>
      <c r="D3" s="3"/>
    </row>
    <row r="4" spans="1:4" s="1" customFormat="1" ht="42" customHeight="1">
      <c r="A4" s="17" t="s">
        <v>61</v>
      </c>
      <c r="B4" s="16"/>
      <c r="C4" s="16"/>
      <c r="D4" s="16"/>
    </row>
    <row r="5" spans="1:4" s="1" customFormat="1" ht="13.5" customHeight="1">
      <c r="A5" s="190"/>
      <c r="B5" s="190"/>
      <c r="C5" s="190"/>
      <c r="D5" s="190"/>
    </row>
    <row r="6" spans="1:4" s="1" customFormat="1" ht="28.7" customHeight="1" thickBot="1">
      <c r="A6" s="27" t="s">
        <v>63</v>
      </c>
      <c r="B6" s="16"/>
      <c r="C6" s="16"/>
      <c r="D6" s="16"/>
    </row>
    <row r="7" spans="1:4" ht="15.75" customHeight="1">
      <c r="A7" s="28" t="s">
        <v>79</v>
      </c>
      <c r="B7" s="28" t="s">
        <v>80</v>
      </c>
      <c r="C7" s="28" t="s">
        <v>81</v>
      </c>
      <c r="D7" s="29" t="s">
        <v>82</v>
      </c>
    </row>
    <row r="8" spans="1:4" ht="12.75" customHeight="1">
      <c r="A8" s="26" t="s">
        <v>2</v>
      </c>
      <c r="B8" s="156" t="s">
        <v>65</v>
      </c>
      <c r="C8" s="130">
        <v>20</v>
      </c>
      <c r="D8" s="24">
        <v>0.2</v>
      </c>
    </row>
    <row r="9" spans="1:4" ht="12.75" customHeight="1">
      <c r="A9" s="26" t="s">
        <v>3</v>
      </c>
      <c r="B9" s="156" t="s">
        <v>66</v>
      </c>
      <c r="C9" s="157">
        <v>1200</v>
      </c>
      <c r="D9" s="25">
        <v>0.2</v>
      </c>
    </row>
    <row r="10" spans="1:4" ht="12.75" customHeight="1">
      <c r="A10" s="26" t="s">
        <v>64</v>
      </c>
      <c r="B10" s="156" t="s">
        <v>67</v>
      </c>
      <c r="C10" s="158">
        <v>20</v>
      </c>
      <c r="D10" s="24">
        <v>0.2</v>
      </c>
    </row>
    <row r="11" spans="1:4" ht="12.75" customHeight="1" thickBot="1">
      <c r="A11" s="32"/>
      <c r="B11" s="159"/>
      <c r="C11" s="159"/>
      <c r="D11" s="32"/>
    </row>
    <row r="12" spans="1:4" ht="12.75" customHeight="1"/>
    <row r="13" spans="1:4" ht="12.75" customHeight="1"/>
    <row r="14" spans="1:4" ht="12.75" customHeight="1">
      <c r="A14" s="200" t="s">
        <v>104</v>
      </c>
      <c r="B14" s="201"/>
      <c r="C14" s="201"/>
      <c r="D14" s="202"/>
    </row>
    <row r="15" spans="1:4">
      <c r="A15" s="203"/>
      <c r="B15" s="204"/>
      <c r="C15" s="204"/>
      <c r="D15" s="205"/>
    </row>
    <row r="16" spans="1:4">
      <c r="A16" s="203"/>
      <c r="B16" s="204"/>
      <c r="C16" s="204"/>
      <c r="D16" s="205"/>
    </row>
    <row r="17" spans="1:4">
      <c r="A17" s="203"/>
      <c r="B17" s="204"/>
      <c r="C17" s="204"/>
      <c r="D17" s="205"/>
    </row>
    <row r="18" spans="1:4">
      <c r="A18" s="203"/>
      <c r="B18" s="204"/>
      <c r="C18" s="204"/>
      <c r="D18" s="205"/>
    </row>
    <row r="19" spans="1:4">
      <c r="A19" s="203"/>
      <c r="B19" s="204"/>
      <c r="C19" s="204"/>
      <c r="D19" s="205"/>
    </row>
    <row r="20" spans="1:4">
      <c r="A20" s="203"/>
      <c r="B20" s="204"/>
      <c r="C20" s="204"/>
      <c r="D20" s="205"/>
    </row>
    <row r="21" spans="1:4">
      <c r="A21" s="206"/>
      <c r="B21" s="207"/>
      <c r="C21" s="207"/>
      <c r="D21" s="208"/>
    </row>
  </sheetData>
  <mergeCells count="1">
    <mergeCell ref="A14:D21"/>
  </mergeCells>
  <dataValidations count="1">
    <dataValidation type="list" allowBlank="1" showInputMessage="1" showErrorMessage="1" sqref="B8:B10">
      <formula1>"Days, Dollars, Hours"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Project Status Report</vt:lpstr>
      <vt:lpstr>Project Var % Chart</vt:lpstr>
      <vt:lpstr>Schedule &amp; Budget Var Chart </vt:lpstr>
      <vt:lpstr>Resource Var Chart</vt:lpstr>
      <vt:lpstr>Assumptions and Notes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2006-11-09T16:56:21Z</dcterms:created>
  <dcterms:modified xsi:type="dcterms:W3CDTF">2006-11-09T16:56:44Z</dcterms:modified>
</cp:coreProperties>
</file>
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/>
  <workbookPr filterPrivacy="1"/>
  <bookViews>
    <workbookView xWindow="-15" yWindow="405" windowWidth="14775" windowHeight="5160"/>
  </bookViews>
  <sheets>
    <sheet name="Project Baseline Raw Data" sheetId="7" r:id="rId1"/>
    <sheet name="Project Baseline Change Report" sheetId="8" r:id="rId2"/>
  </sheets>
  <definedNames>
    <definedName name="Work_ID" localSheetId="0">'Project Baseline Raw Data'!#REF!</definedName>
    <definedName name="Work_ID">#REF!</definedName>
  </definedNames>
  <calcPr calcId="124519"/>
  <webPublishing codePage="1252"/>
</workbook>
</file>

<file path=xl/calcChain.xml><?xml version="1.0" encoding="utf-8"?>
<calcChain xmlns="http://schemas.openxmlformats.org/spreadsheetml/2006/main">
  <c r="E26" i="8"/>
  <c r="D26"/>
  <c r="C26"/>
  <c r="B26"/>
  <c r="A26"/>
  <c r="B2" i="7"/>
  <c r="D11" i="8"/>
  <c r="A25"/>
  <c r="B25"/>
  <c r="C25"/>
  <c r="J25" s="1"/>
  <c r="D25"/>
  <c r="E25"/>
  <c r="C11"/>
  <c r="A11"/>
  <c r="B11"/>
  <c r="B4"/>
  <c r="F25" l="1"/>
  <c r="G25"/>
  <c r="H25"/>
  <c r="I25"/>
  <c r="E11"/>
  <c r="D5"/>
  <c r="B5"/>
  <c r="B3" l="1"/>
  <c r="E16"/>
  <c r="E17"/>
  <c r="E18"/>
  <c r="E19"/>
  <c r="E20"/>
  <c r="E21"/>
  <c r="E22"/>
  <c r="E23"/>
  <c r="E24"/>
  <c r="A16"/>
  <c r="A17"/>
  <c r="A18"/>
  <c r="A19"/>
  <c r="A20"/>
  <c r="A21"/>
  <c r="A22"/>
  <c r="A23"/>
  <c r="A24"/>
  <c r="C16"/>
  <c r="C17"/>
  <c r="C18"/>
  <c r="C19"/>
  <c r="C20"/>
  <c r="C21"/>
  <c r="C22"/>
  <c r="C23"/>
  <c r="C24"/>
  <c r="D16"/>
  <c r="D17"/>
  <c r="D18"/>
  <c r="D19"/>
  <c r="D20"/>
  <c r="D21"/>
  <c r="D22"/>
  <c r="D23"/>
  <c r="D24"/>
  <c r="B16"/>
  <c r="B17"/>
  <c r="B18"/>
  <c r="B19"/>
  <c r="B20"/>
  <c r="B21"/>
  <c r="B22"/>
  <c r="B23"/>
  <c r="B24"/>
  <c r="J26" l="1"/>
  <c r="I26"/>
  <c r="H26"/>
  <c r="G26"/>
  <c r="F26"/>
  <c r="J24"/>
  <c r="I24"/>
  <c r="H24"/>
  <c r="G24"/>
  <c r="F24"/>
  <c r="J23"/>
  <c r="I23"/>
  <c r="H23"/>
  <c r="G23"/>
  <c r="F23"/>
  <c r="J22"/>
  <c r="I22"/>
  <c r="H22"/>
  <c r="G22"/>
  <c r="F22"/>
  <c r="J21"/>
  <c r="I21"/>
  <c r="H21"/>
  <c r="G21"/>
  <c r="F21"/>
  <c r="J20"/>
  <c r="I20"/>
  <c r="H20"/>
  <c r="G20"/>
  <c r="F20"/>
  <c r="J19"/>
  <c r="I19"/>
  <c r="H19"/>
  <c r="G19"/>
  <c r="F19"/>
  <c r="I18"/>
  <c r="G18"/>
  <c r="F18"/>
  <c r="I17"/>
  <c r="G17"/>
  <c r="F17"/>
  <c r="I16"/>
  <c r="G16"/>
  <c r="F16"/>
  <c r="H18"/>
  <c r="J18"/>
  <c r="H17"/>
  <c r="J17"/>
  <c r="H16"/>
  <c r="J16"/>
</calcChain>
</file>

<file path=xl/sharedStrings.xml><?xml version="1.0" encoding="utf-8"?>
<sst xmlns="http://schemas.openxmlformats.org/spreadsheetml/2006/main" count="73" uniqueCount="55">
  <si>
    <t>Project Summary</t>
  </si>
  <si>
    <t>Baseline Budget Change</t>
  </si>
  <si>
    <t>Work Component Summary</t>
  </si>
  <si>
    <t>Work Component Type</t>
  </si>
  <si>
    <t>Work Component Name</t>
  </si>
  <si>
    <t>Work Component Owner</t>
  </si>
  <si>
    <t>Critical</t>
  </si>
  <si>
    <t>Project name:</t>
  </si>
  <si>
    <t>Project name</t>
  </si>
  <si>
    <t>Sub-project</t>
  </si>
  <si>
    <t>Project</t>
  </si>
  <si>
    <t>Milestone</t>
  </si>
  <si>
    <t>New Campaign Launch</t>
  </si>
  <si>
    <t>Brown, Cheryl</t>
  </si>
  <si>
    <t>Research campaign options</t>
  </si>
  <si>
    <t>Anna Franklin</t>
  </si>
  <si>
    <t>Yes</t>
  </si>
  <si>
    <t>Campaign message developed</t>
  </si>
  <si>
    <t>No</t>
  </si>
  <si>
    <t>3.1.1</t>
  </si>
  <si>
    <t>Establish PR lists</t>
  </si>
  <si>
    <t>Frank Taylor</t>
  </si>
  <si>
    <t>Create campaign execution plan</t>
  </si>
  <si>
    <t>Report date:</t>
  </si>
  <si>
    <t>Baseline Start Date Change (Days)</t>
  </si>
  <si>
    <t>Baseline Finish Date Change (Days)</t>
  </si>
  <si>
    <t>Baseline Duration Change (Days)</t>
  </si>
  <si>
    <t>Baseline Resource Change (Hours)</t>
  </si>
  <si>
    <t>Work Component ID</t>
  </si>
  <si>
    <t>Project Baseline Change Report</t>
  </si>
  <si>
    <t>Baseline start</t>
  </si>
  <si>
    <t>Baseline finish</t>
  </si>
  <si>
    <t>Baseline Date:</t>
  </si>
  <si>
    <t>Old Baseline Date:</t>
  </si>
  <si>
    <t>Task</t>
  </si>
  <si>
    <t>Project Baseline Raw Data</t>
  </si>
  <si>
    <t>Work 
component name</t>
  </si>
  <si>
    <t>Work 
component type</t>
  </si>
  <si>
    <t>Work 
component owner</t>
  </si>
  <si>
    <t>Baseline 
resource</t>
  </si>
  <si>
    <t>Baseline 
cost</t>
  </si>
  <si>
    <t>Baseline 
start old</t>
  </si>
  <si>
    <t>Baseline 
finish old</t>
  </si>
  <si>
    <t>Baseline 
resource old</t>
  </si>
  <si>
    <t>Baseline 
cost old</t>
  </si>
  <si>
    <t>Baseline 
Set Date</t>
  </si>
  <si>
    <t>Baseline 
Old Set Date</t>
  </si>
  <si>
    <t xml:space="preserve">Project manager </t>
  </si>
  <si>
    <t>Work 
component id</t>
  </si>
  <si>
    <t>Cause of Change</t>
  </si>
  <si>
    <t>graphics vendor problems</t>
  </si>
  <si>
    <t>Prepared by:</t>
  </si>
  <si>
    <t>Cheryl Brown</t>
  </si>
  <si>
    <t>Date:</t>
  </si>
  <si>
    <t>new software issues</t>
  </si>
</sst>
</file>

<file path=xl/styles.xml><?xml version="1.0" encoding="utf-8"?>
<styleSheet xmlns="http://schemas.openxmlformats.org/spreadsheetml/2006/main">
  <numFmts count="3">
    <numFmt numFmtId="6" formatCode="&quot;$&quot;#,##0_);[Red]\(&quot;$&quot;#,##0\)"/>
    <numFmt numFmtId="44" formatCode="_(&quot;$&quot;* #,##0.00_);_(&quot;$&quot;* \(#,##0.00\);_(&quot;$&quot;* &quot;-&quot;??_);_(@_)"/>
    <numFmt numFmtId="164" formatCode="0_);[Red]\(0\)"/>
  </numFmts>
  <fonts count="1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3"/>
      <name val="Calibri"/>
      <family val="2"/>
      <scheme val="minor"/>
    </font>
    <font>
      <sz val="10"/>
      <name val="Calibri"/>
      <family val="2"/>
      <scheme val="minor"/>
    </font>
    <font>
      <b/>
      <sz val="18"/>
      <color theme="4"/>
      <name val="Calibri"/>
      <family val="2"/>
      <scheme val="minor"/>
    </font>
    <font>
      <b/>
      <sz val="10"/>
      <name val="Calibri"/>
      <family val="2"/>
      <scheme val="minor"/>
    </font>
  </fonts>
  <fills count="5">
    <fill>
      <patternFill patternType="none"/>
    </fill>
    <fill>
      <patternFill patternType="gray125"/>
    </fill>
    <fill>
      <gradientFill degree="90">
        <stop position="0">
          <color theme="4" tint="0.40000610370189521"/>
        </stop>
        <stop position="1">
          <color rgb="FFFFFFFF"/>
        </stop>
      </gradient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4" tint="0.59999389629810485"/>
        </stop>
        <stop position="1">
          <color rgb="FFFFFFFF"/>
        </stop>
      </gradientFill>
    </fill>
  </fills>
  <borders count="17">
    <border>
      <left/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auto="1"/>
      </left>
      <right/>
      <top/>
      <bottom/>
      <diagonal/>
    </border>
    <border>
      <left/>
      <right/>
      <top style="thin">
        <color rgb="FF406F96"/>
      </top>
      <bottom/>
      <diagonal/>
    </border>
    <border>
      <left/>
      <right style="hair">
        <color auto="1"/>
      </right>
      <top style="thick">
        <color theme="5"/>
      </top>
      <bottom/>
      <diagonal/>
    </border>
    <border>
      <left style="hair">
        <color auto="1"/>
      </left>
      <right style="hair">
        <color auto="1"/>
      </right>
      <top style="thick">
        <color theme="5"/>
      </top>
      <bottom/>
      <diagonal/>
    </border>
    <border>
      <left style="hair">
        <color auto="1"/>
      </left>
      <right/>
      <top style="thick">
        <color theme="5"/>
      </top>
      <bottom/>
      <diagonal/>
    </border>
    <border>
      <left/>
      <right/>
      <top style="thick">
        <color theme="5"/>
      </top>
      <bottom/>
      <diagonal/>
    </border>
    <border>
      <left/>
      <right style="hair">
        <color auto="1"/>
      </right>
      <top/>
      <bottom style="medium">
        <color theme="4" tint="0.39994506668294322"/>
      </bottom>
      <diagonal/>
    </border>
    <border>
      <left style="hair">
        <color auto="1"/>
      </left>
      <right style="hair">
        <color auto="1"/>
      </right>
      <top/>
      <bottom style="medium">
        <color theme="4" tint="0.39994506668294322"/>
      </bottom>
      <diagonal/>
    </border>
    <border>
      <left style="hair">
        <color auto="1"/>
      </left>
      <right/>
      <top/>
      <bottom style="medium">
        <color theme="4" tint="0.39994506668294322"/>
      </bottom>
      <diagonal/>
    </border>
    <border>
      <left/>
      <right/>
      <top/>
      <bottom style="medium">
        <color theme="5"/>
      </bottom>
      <diagonal/>
    </border>
    <border>
      <left/>
      <right style="hair">
        <color auto="1"/>
      </right>
      <top/>
      <bottom style="thick">
        <color theme="4" tint="0.39994506668294322"/>
      </bottom>
      <diagonal/>
    </border>
    <border>
      <left style="hair">
        <color auto="1"/>
      </left>
      <right style="hair">
        <color auto="1"/>
      </right>
      <top/>
      <bottom style="thick">
        <color theme="4" tint="0.39994506668294322"/>
      </bottom>
      <diagonal/>
    </border>
    <border>
      <left style="hair">
        <color auto="1"/>
      </left>
      <right/>
      <top/>
      <bottom style="thick">
        <color theme="4" tint="0.39994506668294322"/>
      </bottom>
      <diagonal/>
    </border>
    <border>
      <left/>
      <right style="hair">
        <color auto="1"/>
      </right>
      <top style="medium">
        <color theme="5"/>
      </top>
      <bottom style="medium">
        <color theme="4" tint="0.39994506668294322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2" fillId="0" borderId="0" applyNumberFormat="0" applyFill="0" applyBorder="0" applyAlignment="0" applyProtection="0"/>
  </cellStyleXfs>
  <cellXfs count="60">
    <xf numFmtId="0" fontId="0" fillId="0" borderId="0" xfId="0"/>
    <xf numFmtId="0" fontId="0" fillId="0" borderId="0" xfId="0" applyNumberFormat="1"/>
    <xf numFmtId="0" fontId="0" fillId="0" borderId="0" xfId="0" applyNumberFormat="1" applyAlignment="1">
      <alignment horizontal="right"/>
    </xf>
    <xf numFmtId="0" fontId="4" fillId="0" borderId="0" xfId="0" applyFont="1"/>
    <xf numFmtId="14" fontId="4" fillId="0" borderId="0" xfId="0" applyNumberFormat="1" applyFont="1" applyAlignment="1">
      <alignment horizontal="left"/>
    </xf>
    <xf numFmtId="14" fontId="4" fillId="0" borderId="0" xfId="0" applyNumberFormat="1" applyFont="1"/>
    <xf numFmtId="0" fontId="6" fillId="0" borderId="0" xfId="0" applyFont="1"/>
    <xf numFmtId="14" fontId="6" fillId="0" borderId="0" xfId="0" applyNumberFormat="1" applyFont="1"/>
    <xf numFmtId="0" fontId="7" fillId="0" borderId="0" xfId="2" applyFont="1" applyAlignment="1"/>
    <xf numFmtId="0" fontId="6" fillId="0" borderId="0" xfId="0" applyFont="1" applyAlignment="1">
      <alignment wrapText="1"/>
    </xf>
    <xf numFmtId="0" fontId="0" fillId="0" borderId="1" xfId="0" applyNumberFormat="1" applyBorder="1"/>
    <xf numFmtId="0" fontId="0" fillId="0" borderId="2" xfId="0" applyNumberFormat="1" applyBorder="1"/>
    <xf numFmtId="0" fontId="0" fillId="0" borderId="2" xfId="0" applyNumberFormat="1" applyBorder="1" applyAlignment="1">
      <alignment horizontal="right"/>
    </xf>
    <xf numFmtId="14" fontId="0" fillId="0" borderId="2" xfId="0" applyNumberFormat="1" applyBorder="1"/>
    <xf numFmtId="14" fontId="0" fillId="0" borderId="3" xfId="0" applyNumberFormat="1" applyBorder="1"/>
    <xf numFmtId="0" fontId="8" fillId="2" borderId="4" xfId="0" applyFont="1" applyFill="1" applyBorder="1"/>
    <xf numFmtId="0" fontId="9" fillId="0" borderId="0" xfId="0" applyNumberFormat="1" applyFont="1"/>
    <xf numFmtId="0" fontId="0" fillId="0" borderId="5" xfId="0" applyNumberFormat="1" applyBorder="1"/>
    <xf numFmtId="0" fontId="0" fillId="0" borderId="6" xfId="0" applyNumberFormat="1" applyBorder="1"/>
    <xf numFmtId="0" fontId="0" fillId="0" borderId="6" xfId="0" applyNumberFormat="1" applyBorder="1" applyAlignment="1">
      <alignment horizontal="right"/>
    </xf>
    <xf numFmtId="14" fontId="0" fillId="0" borderId="6" xfId="0" applyNumberFormat="1" applyBorder="1"/>
    <xf numFmtId="14" fontId="0" fillId="0" borderId="7" xfId="0" applyNumberFormat="1" applyBorder="1"/>
    <xf numFmtId="0" fontId="3" fillId="0" borderId="0" xfId="0" applyNumberFormat="1" applyFont="1" applyFill="1" applyAlignment="1">
      <alignment horizontal="left"/>
    </xf>
    <xf numFmtId="0" fontId="3" fillId="0" borderId="0" xfId="0" applyNumberFormat="1" applyFont="1" applyFill="1" applyAlignment="1">
      <alignment wrapText="1"/>
    </xf>
    <xf numFmtId="0" fontId="3" fillId="0" borderId="0" xfId="0" applyNumberFormat="1" applyFont="1" applyFill="1" applyAlignment="1">
      <alignment horizontal="left" wrapText="1"/>
    </xf>
    <xf numFmtId="0" fontId="3" fillId="0" borderId="0" xfId="0" applyNumberFormat="1" applyFont="1" applyFill="1"/>
    <xf numFmtId="0" fontId="3" fillId="0" borderId="0" xfId="0" applyFont="1"/>
    <xf numFmtId="0" fontId="9" fillId="0" borderId="0" xfId="0" applyFont="1"/>
    <xf numFmtId="44" fontId="0" fillId="0" borderId="6" xfId="0" applyNumberFormat="1" applyBorder="1"/>
    <xf numFmtId="44" fontId="0" fillId="0" borderId="2" xfId="0" applyNumberFormat="1" applyBorder="1"/>
    <xf numFmtId="164" fontId="6" fillId="0" borderId="10" xfId="0" applyNumberFormat="1" applyFont="1" applyBorder="1"/>
    <xf numFmtId="6" fontId="6" fillId="0" borderId="10" xfId="1" applyNumberFormat="1" applyFont="1" applyBorder="1"/>
    <xf numFmtId="164" fontId="6" fillId="0" borderId="11" xfId="0" applyNumberFormat="1" applyFont="1" applyBorder="1"/>
    <xf numFmtId="0" fontId="6" fillId="0" borderId="1" xfId="0" applyFont="1" applyBorder="1" applyAlignment="1">
      <alignment horizontal="right"/>
    </xf>
    <xf numFmtId="0" fontId="6" fillId="0" borderId="2" xfId="0" applyFont="1" applyBorder="1"/>
    <xf numFmtId="0" fontId="6" fillId="0" borderId="2" xfId="0" applyFont="1" applyBorder="1" applyAlignment="1">
      <alignment wrapText="1"/>
    </xf>
    <xf numFmtId="0" fontId="6" fillId="0" borderId="2" xfId="0" applyFont="1" applyBorder="1" applyAlignment="1">
      <alignment horizontal="center"/>
    </xf>
    <xf numFmtId="164" fontId="6" fillId="0" borderId="2" xfId="0" applyNumberFormat="1" applyFont="1" applyBorder="1"/>
    <xf numFmtId="164" fontId="6" fillId="0" borderId="2" xfId="1" applyNumberFormat="1" applyFont="1" applyBorder="1"/>
    <xf numFmtId="1" fontId="6" fillId="0" borderId="3" xfId="0" applyNumberFormat="1" applyFont="1" applyBorder="1"/>
    <xf numFmtId="0" fontId="6" fillId="0" borderId="9" xfId="0" applyFont="1" applyBorder="1" applyAlignment="1">
      <alignment horizontal="right"/>
    </xf>
    <xf numFmtId="0" fontId="6" fillId="0" borderId="10" xfId="0" applyFont="1" applyBorder="1"/>
    <xf numFmtId="0" fontId="6" fillId="0" borderId="10" xfId="0" applyFont="1" applyBorder="1" applyAlignment="1">
      <alignment wrapText="1"/>
    </xf>
    <xf numFmtId="0" fontId="6" fillId="0" borderId="10" xfId="0" applyFont="1" applyBorder="1" applyAlignment="1">
      <alignment horizontal="center"/>
    </xf>
    <xf numFmtId="1" fontId="6" fillId="0" borderId="11" xfId="0" applyNumberFormat="1" applyFont="1" applyBorder="1"/>
    <xf numFmtId="0" fontId="5" fillId="0" borderId="12" xfId="0" applyFont="1" applyFill="1" applyBorder="1" applyAlignment="1">
      <alignment horizontal="left" wrapText="1"/>
    </xf>
    <xf numFmtId="0" fontId="0" fillId="0" borderId="13" xfId="0" applyNumberFormat="1" applyBorder="1"/>
    <xf numFmtId="0" fontId="0" fillId="0" borderId="14" xfId="0" applyNumberFormat="1" applyBorder="1"/>
    <xf numFmtId="0" fontId="0" fillId="0" borderId="14" xfId="0" applyNumberFormat="1" applyBorder="1" applyAlignment="1">
      <alignment horizontal="right"/>
    </xf>
    <xf numFmtId="14" fontId="0" fillId="0" borderId="14" xfId="0" applyNumberFormat="1" applyBorder="1"/>
    <xf numFmtId="44" fontId="0" fillId="0" borderId="14" xfId="0" applyNumberFormat="1" applyBorder="1"/>
    <xf numFmtId="14" fontId="0" fillId="0" borderId="15" xfId="0" applyNumberFormat="1" applyBorder="1"/>
    <xf numFmtId="0" fontId="6" fillId="0" borderId="3" xfId="0" applyFont="1" applyBorder="1" applyAlignment="1">
      <alignment horizontal="left" wrapText="1"/>
    </xf>
    <xf numFmtId="0" fontId="6" fillId="0" borderId="3" xfId="0" applyFont="1" applyFill="1" applyBorder="1" applyAlignment="1">
      <alignment horizontal="left" wrapText="1"/>
    </xf>
    <xf numFmtId="1" fontId="6" fillId="0" borderId="3" xfId="0" applyNumberFormat="1" applyFont="1" applyBorder="1" applyAlignment="1">
      <alignment horizontal="left"/>
    </xf>
    <xf numFmtId="164" fontId="6" fillId="0" borderId="10" xfId="1" applyNumberFormat="1" applyFont="1" applyBorder="1"/>
    <xf numFmtId="0" fontId="10" fillId="3" borderId="8" xfId="2" applyFont="1" applyFill="1" applyBorder="1" applyAlignment="1"/>
    <xf numFmtId="0" fontId="6" fillId="3" borderId="8" xfId="0" applyFont="1" applyFill="1" applyBorder="1"/>
    <xf numFmtId="0" fontId="8" fillId="4" borderId="4" xfId="0" applyFont="1" applyFill="1" applyBorder="1"/>
    <xf numFmtId="1" fontId="6" fillId="0" borderId="16" xfId="0" applyNumberFormat="1" applyFont="1" applyBorder="1"/>
  </cellXfs>
  <cellStyles count="3">
    <cellStyle name="Currency" xfId="1" builtinId="4"/>
    <cellStyle name="Heading 4" xfId="2" builtinId="19" customBuiltin="1"/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WE_theme">
  <a:themeElements>
    <a:clrScheme name="Works Essential colors">
      <a:dk1>
        <a:sysClr val="windowText" lastClr="000000"/>
      </a:dk1>
      <a:lt1>
        <a:sysClr val="window" lastClr="FFFFFF"/>
      </a:lt1>
      <a:dk2>
        <a:srgbClr val="335889"/>
      </a:dk2>
      <a:lt2>
        <a:srgbClr val="DDDDDD"/>
      </a:lt2>
      <a:accent1>
        <a:srgbClr val="648DC6"/>
      </a:accent1>
      <a:accent2>
        <a:srgbClr val="AED4B4"/>
      </a:accent2>
      <a:accent3>
        <a:srgbClr val="E0E9F4"/>
      </a:accent3>
      <a:accent4>
        <a:srgbClr val="549A65"/>
      </a:accent4>
      <a:accent5>
        <a:srgbClr val="617F95"/>
      </a:accent5>
      <a:accent6>
        <a:srgbClr val="BAC7BC"/>
      </a:accent6>
      <a:hlink>
        <a:srgbClr val="0000FF"/>
      </a:hlink>
      <a:folHlink>
        <a:srgbClr val="800080"/>
      </a:folHlink>
    </a:clrScheme>
    <a:fontScheme name="Office">
      <a:maj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100000" t="-60000" r="100000" b="20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100000" t="100000" r="100000" b="10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Q12"/>
  <sheetViews>
    <sheetView showGridLines="0" tabSelected="1" workbookViewId="0"/>
  </sheetViews>
  <sheetFormatPr defaultRowHeight="15"/>
  <cols>
    <col min="1" max="1" width="26.85546875" style="1" customWidth="1"/>
    <col min="2" max="2" width="19.7109375" style="1" customWidth="1"/>
    <col min="3" max="3" width="17.42578125" style="2" customWidth="1"/>
    <col min="4" max="4" width="25.85546875" style="1" customWidth="1"/>
    <col min="5" max="5" width="19" style="1" customWidth="1"/>
    <col min="6" max="6" width="20.5703125" style="1" customWidth="1"/>
    <col min="7" max="7" width="7.85546875" style="1" customWidth="1"/>
    <col min="8" max="8" width="11" style="1" customWidth="1"/>
    <col min="9" max="9" width="11.42578125" style="1" customWidth="1"/>
    <col min="10" max="10" width="14.42578125" style="1" customWidth="1"/>
    <col min="11" max="11" width="10.7109375" style="1" customWidth="1"/>
    <col min="12" max="12" width="14" style="1" customWidth="1"/>
    <col min="13" max="13" width="14.42578125" style="1" customWidth="1"/>
    <col min="14" max="14" width="17.42578125" style="1" customWidth="1"/>
    <col min="15" max="15" width="13.7109375" style="1" customWidth="1"/>
    <col min="16" max="16" width="14.140625" style="1" customWidth="1"/>
    <col min="17" max="17" width="17.5703125" style="1" customWidth="1"/>
    <col min="18" max="16384" width="9.140625" style="1"/>
  </cols>
  <sheetData>
    <row r="1" spans="1:17">
      <c r="A1" s="26" t="s">
        <v>7</v>
      </c>
      <c r="B1" s="26" t="s">
        <v>12</v>
      </c>
      <c r="C1" s="3"/>
      <c r="D1" s="3"/>
    </row>
    <row r="2" spans="1:17">
      <c r="A2" s="3" t="s">
        <v>53</v>
      </c>
      <c r="B2" s="4">
        <f ca="1">TODAY()</f>
        <v>39030</v>
      </c>
      <c r="C2" s="3"/>
      <c r="D2" s="3"/>
    </row>
    <row r="3" spans="1:17">
      <c r="A3" s="3" t="s">
        <v>51</v>
      </c>
      <c r="B3" s="4" t="s">
        <v>52</v>
      </c>
      <c r="C3" s="5"/>
      <c r="D3" s="4"/>
    </row>
    <row r="5" spans="1:17" ht="42" customHeight="1">
      <c r="A5" s="16" t="s">
        <v>35</v>
      </c>
    </row>
    <row r="6" spans="1:17" ht="13.5" customHeight="1">
      <c r="A6" s="15"/>
      <c r="B6" s="15"/>
      <c r="C6" s="15"/>
      <c r="D6" s="15"/>
      <c r="E6" s="15"/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</row>
    <row r="7" spans="1:17" ht="30.75" thickBot="1">
      <c r="A7" s="22" t="s">
        <v>8</v>
      </c>
      <c r="B7" s="22" t="s">
        <v>47</v>
      </c>
      <c r="C7" s="24" t="s">
        <v>48</v>
      </c>
      <c r="D7" s="24" t="s">
        <v>36</v>
      </c>
      <c r="E7" s="23" t="s">
        <v>37</v>
      </c>
      <c r="F7" s="23" t="s">
        <v>38</v>
      </c>
      <c r="G7" s="25" t="s">
        <v>6</v>
      </c>
      <c r="H7" s="23" t="s">
        <v>30</v>
      </c>
      <c r="I7" s="23" t="s">
        <v>31</v>
      </c>
      <c r="J7" s="23" t="s">
        <v>39</v>
      </c>
      <c r="K7" s="23" t="s">
        <v>40</v>
      </c>
      <c r="L7" s="23" t="s">
        <v>41</v>
      </c>
      <c r="M7" s="23" t="s">
        <v>42</v>
      </c>
      <c r="N7" s="23" t="s">
        <v>43</v>
      </c>
      <c r="O7" s="23" t="s">
        <v>44</v>
      </c>
      <c r="P7" s="23" t="s">
        <v>45</v>
      </c>
      <c r="Q7" s="23" t="s">
        <v>46</v>
      </c>
    </row>
    <row r="8" spans="1:17" ht="15.75" thickTop="1">
      <c r="A8" s="17" t="s">
        <v>12</v>
      </c>
      <c r="B8" s="18" t="s">
        <v>13</v>
      </c>
      <c r="C8" s="19">
        <v>3</v>
      </c>
      <c r="D8" s="18" t="s">
        <v>14</v>
      </c>
      <c r="E8" s="18" t="s">
        <v>10</v>
      </c>
      <c r="F8" s="18" t="s">
        <v>15</v>
      </c>
      <c r="G8" s="18" t="s">
        <v>16</v>
      </c>
      <c r="H8" s="20">
        <v>38718</v>
      </c>
      <c r="I8" s="20">
        <v>38808</v>
      </c>
      <c r="J8" s="18">
        <v>370</v>
      </c>
      <c r="K8" s="28">
        <v>9100</v>
      </c>
      <c r="L8" s="20">
        <v>38718</v>
      </c>
      <c r="M8" s="20">
        <v>38777</v>
      </c>
      <c r="N8" s="18">
        <v>300</v>
      </c>
      <c r="O8" s="28">
        <v>8500</v>
      </c>
      <c r="P8" s="20">
        <v>38718</v>
      </c>
      <c r="Q8" s="21">
        <v>38869</v>
      </c>
    </row>
    <row r="9" spans="1:17">
      <c r="A9" s="10" t="s">
        <v>12</v>
      </c>
      <c r="B9" s="11" t="s">
        <v>13</v>
      </c>
      <c r="C9" s="12">
        <v>3.1</v>
      </c>
      <c r="D9" s="11" t="s">
        <v>17</v>
      </c>
      <c r="E9" s="11" t="s">
        <v>9</v>
      </c>
      <c r="F9" s="11" t="s">
        <v>15</v>
      </c>
      <c r="G9" s="11" t="s">
        <v>18</v>
      </c>
      <c r="H9" s="13">
        <v>38718</v>
      </c>
      <c r="I9" s="13">
        <v>38777</v>
      </c>
      <c r="J9" s="11">
        <v>120</v>
      </c>
      <c r="K9" s="29">
        <v>8000</v>
      </c>
      <c r="L9" s="13">
        <v>38718</v>
      </c>
      <c r="M9" s="13">
        <v>38777</v>
      </c>
      <c r="N9" s="11">
        <v>120</v>
      </c>
      <c r="O9" s="29">
        <v>7200</v>
      </c>
      <c r="P9" s="13">
        <v>38718</v>
      </c>
      <c r="Q9" s="14">
        <v>38869</v>
      </c>
    </row>
    <row r="10" spans="1:17">
      <c r="A10" s="10" t="s">
        <v>12</v>
      </c>
      <c r="B10" s="11" t="s">
        <v>13</v>
      </c>
      <c r="C10" s="12" t="s">
        <v>19</v>
      </c>
      <c r="D10" s="11" t="s">
        <v>20</v>
      </c>
      <c r="E10" s="11" t="s">
        <v>34</v>
      </c>
      <c r="F10" s="11" t="s">
        <v>21</v>
      </c>
      <c r="G10" s="11" t="s">
        <v>16</v>
      </c>
      <c r="H10" s="13">
        <v>38718</v>
      </c>
      <c r="I10" s="13">
        <v>38777</v>
      </c>
      <c r="J10" s="11">
        <v>150</v>
      </c>
      <c r="K10" s="29">
        <v>600</v>
      </c>
      <c r="L10" s="13">
        <v>38718</v>
      </c>
      <c r="M10" s="13">
        <v>38777</v>
      </c>
      <c r="N10" s="11">
        <v>90</v>
      </c>
      <c r="O10" s="29">
        <v>600</v>
      </c>
      <c r="P10" s="13">
        <v>38718</v>
      </c>
      <c r="Q10" s="14">
        <v>38869</v>
      </c>
    </row>
    <row r="11" spans="1:17" ht="15.75" thickBot="1">
      <c r="A11" s="46" t="s">
        <v>12</v>
      </c>
      <c r="B11" s="47" t="s">
        <v>13</v>
      </c>
      <c r="C11" s="48">
        <v>3.2</v>
      </c>
      <c r="D11" s="47" t="s">
        <v>22</v>
      </c>
      <c r="E11" s="47" t="s">
        <v>11</v>
      </c>
      <c r="F11" s="47" t="s">
        <v>15</v>
      </c>
      <c r="G11" s="47" t="s">
        <v>18</v>
      </c>
      <c r="H11" s="49">
        <v>38749</v>
      </c>
      <c r="I11" s="49">
        <v>38808</v>
      </c>
      <c r="J11" s="47">
        <v>50</v>
      </c>
      <c r="K11" s="50">
        <v>500</v>
      </c>
      <c r="L11" s="49">
        <v>38718</v>
      </c>
      <c r="M11" s="49">
        <v>38777</v>
      </c>
      <c r="N11" s="47">
        <v>90</v>
      </c>
      <c r="O11" s="50">
        <v>700</v>
      </c>
      <c r="P11" s="49">
        <v>38718</v>
      </c>
      <c r="Q11" s="51">
        <v>38869</v>
      </c>
    </row>
    <row r="12" spans="1:17" ht="15.75" thickTop="1"/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dimension ref="A1:M26"/>
  <sheetViews>
    <sheetView showGridLines="0" topLeftCell="A3" workbookViewId="0">
      <selection activeCell="A3" sqref="A3"/>
    </sheetView>
  </sheetViews>
  <sheetFormatPr defaultRowHeight="12.75"/>
  <cols>
    <col min="1" max="1" width="13.7109375" style="6" customWidth="1"/>
    <col min="2" max="2" width="16.42578125" style="6" customWidth="1"/>
    <col min="3" max="3" width="19.7109375" style="6" customWidth="1"/>
    <col min="4" max="5" width="16.7109375" style="6" customWidth="1"/>
    <col min="6" max="9" width="9.140625" style="6"/>
    <col min="10" max="10" width="9.7109375" style="6" customWidth="1"/>
    <col min="11" max="11" width="15.7109375" style="6" customWidth="1"/>
    <col min="12" max="16384" width="9.140625" style="6"/>
  </cols>
  <sheetData>
    <row r="1" spans="1:13" hidden="1"/>
    <row r="2" spans="1:13" hidden="1"/>
    <row r="3" spans="1:13" ht="15">
      <c r="A3" s="26" t="s">
        <v>7</v>
      </c>
      <c r="B3" s="26" t="str">
        <f>'Project Baseline Raw Data'!A8</f>
        <v>New Campaign Launch</v>
      </c>
      <c r="C3" s="3"/>
      <c r="D3" s="3"/>
    </row>
    <row r="4" spans="1:13">
      <c r="A4" s="3" t="s">
        <v>23</v>
      </c>
      <c r="B4" s="4">
        <f ca="1">TODAY()</f>
        <v>39030</v>
      </c>
      <c r="C4" s="3"/>
      <c r="D4" s="3"/>
    </row>
    <row r="5" spans="1:13">
      <c r="A5" s="3" t="s">
        <v>32</v>
      </c>
      <c r="B5" s="4">
        <f>'Project Baseline Raw Data'!P8</f>
        <v>38718</v>
      </c>
      <c r="C5" s="5" t="s">
        <v>33</v>
      </c>
      <c r="D5" s="4">
        <f>'Project Baseline Raw Data'!Q8</f>
        <v>38869</v>
      </c>
      <c r="E5" s="7"/>
    </row>
    <row r="6" spans="1:13" ht="42" customHeight="1">
      <c r="A6" s="27" t="s">
        <v>29</v>
      </c>
    </row>
    <row r="7" spans="1:13" ht="13.5" customHeight="1">
      <c r="A7" s="58"/>
      <c r="B7" s="58"/>
      <c r="C7" s="58"/>
      <c r="D7" s="58"/>
      <c r="E7" s="58"/>
      <c r="F7" s="58"/>
      <c r="G7" s="58"/>
      <c r="H7" s="58"/>
      <c r="I7" s="58"/>
      <c r="J7" s="58"/>
      <c r="K7" s="58"/>
      <c r="L7" s="8"/>
      <c r="M7" s="8"/>
    </row>
    <row r="8" spans="1:13" ht="15.75" customHeight="1" thickBot="1"/>
    <row r="9" spans="1:13" ht="13.5" thickTop="1">
      <c r="A9" s="56" t="s">
        <v>0</v>
      </c>
      <c r="B9" s="57"/>
      <c r="C9" s="57"/>
      <c r="D9" s="57"/>
      <c r="E9" s="57"/>
      <c r="F9" s="57"/>
      <c r="G9" s="57"/>
      <c r="H9" s="57"/>
      <c r="I9" s="57"/>
      <c r="J9" s="57"/>
      <c r="K9" s="57"/>
    </row>
    <row r="10" spans="1:13" ht="39" thickBot="1">
      <c r="A10" s="45" t="s">
        <v>24</v>
      </c>
      <c r="B10" s="45" t="s">
        <v>25</v>
      </c>
      <c r="C10" s="45" t="s">
        <v>26</v>
      </c>
      <c r="D10" s="45" t="s">
        <v>1</v>
      </c>
      <c r="E10" s="45" t="s">
        <v>27</v>
      </c>
      <c r="G10" s="9"/>
    </row>
    <row r="11" spans="1:13" ht="13.5" thickBot="1">
      <c r="A11" s="59">
        <f>'Project Baseline Raw Data'!L8-'Project Baseline Raw Data'!H8</f>
        <v>0</v>
      </c>
      <c r="B11" s="30">
        <f>'Project Baseline Raw Data'!M8-'Project Baseline Raw Data'!I8</f>
        <v>-31</v>
      </c>
      <c r="C11" s="30">
        <f>('Project Baseline Raw Data'!M8-'Project Baseline Raw Data'!L8)-('Project Baseline Raw Data'!I8-'Project Baseline Raw Data'!H8)</f>
        <v>-31</v>
      </c>
      <c r="D11" s="31">
        <f>'Project Baseline Raw Data'!O8-'Project Baseline Raw Data'!K8</f>
        <v>-600</v>
      </c>
      <c r="E11" s="32">
        <f>'Project Baseline Raw Data'!N8-'Project Baseline Raw Data'!J8</f>
        <v>-70</v>
      </c>
    </row>
    <row r="12" spans="1:13" ht="13.5" thickBot="1"/>
    <row r="13" spans="1:13" ht="13.5" thickTop="1">
      <c r="A13" s="56" t="s">
        <v>2</v>
      </c>
      <c r="B13" s="56"/>
      <c r="C13" s="56"/>
      <c r="D13" s="56"/>
      <c r="E13" s="56"/>
      <c r="F13" s="56"/>
      <c r="G13" s="56"/>
      <c r="H13" s="56"/>
      <c r="I13" s="56"/>
      <c r="J13" s="56"/>
      <c r="K13" s="56"/>
      <c r="L13" s="8"/>
      <c r="M13" s="8"/>
    </row>
    <row r="14" spans="1:13" hidden="1"/>
    <row r="15" spans="1:13" ht="64.5" thickBot="1">
      <c r="A15" s="45" t="s">
        <v>28</v>
      </c>
      <c r="B15" s="45" t="s">
        <v>3</v>
      </c>
      <c r="C15" s="45" t="s">
        <v>4</v>
      </c>
      <c r="D15" s="45" t="s">
        <v>5</v>
      </c>
      <c r="E15" s="45" t="s">
        <v>6</v>
      </c>
      <c r="F15" s="45" t="s">
        <v>24</v>
      </c>
      <c r="G15" s="45" t="s">
        <v>25</v>
      </c>
      <c r="H15" s="45" t="s">
        <v>26</v>
      </c>
      <c r="I15" s="45" t="s">
        <v>1</v>
      </c>
      <c r="J15" s="45" t="s">
        <v>27</v>
      </c>
      <c r="K15" s="45" t="s">
        <v>49</v>
      </c>
      <c r="L15" s="9"/>
    </row>
    <row r="16" spans="1:13" ht="25.5">
      <c r="A16" s="33">
        <f>IF('Project Baseline Raw Data'!C9=0,"",'Project Baseline Raw Data'!C9)</f>
        <v>3.1</v>
      </c>
      <c r="B16" s="34" t="str">
        <f>IF('Project Baseline Raw Data'!E9=0,"",'Project Baseline Raw Data'!E9)</f>
        <v>Sub-project</v>
      </c>
      <c r="C16" s="35" t="str">
        <f>IF('Project Baseline Raw Data'!D9=0,"",'Project Baseline Raw Data'!D9)</f>
        <v>Campaign message developed</v>
      </c>
      <c r="D16" s="34" t="str">
        <f>IF('Project Baseline Raw Data'!F9=0,"",'Project Baseline Raw Data'!F9)</f>
        <v>Anna Franklin</v>
      </c>
      <c r="E16" s="36" t="str">
        <f>IF('Project Baseline Raw Data'!G9=0,"",'Project Baseline Raw Data'!G9)</f>
        <v>No</v>
      </c>
      <c r="F16" s="37">
        <f>IF($C16="","",'Project Baseline Raw Data'!L9-'Project Baseline Raw Data'!H9)</f>
        <v>0</v>
      </c>
      <c r="G16" s="37">
        <f>IF($C16="","",'Project Baseline Raw Data'!M9-'Project Baseline Raw Data'!I9)</f>
        <v>0</v>
      </c>
      <c r="H16" s="37">
        <f>IF($C16="","",('Project Baseline Raw Data'!I9-'Project Baseline Raw Data'!H9)-('Project Baseline Raw Data'!M9-'Project Baseline Raw Data'!L9))</f>
        <v>0</v>
      </c>
      <c r="I16" s="38">
        <f>IF($C16="","",'Project Baseline Raw Data'!O9-'Project Baseline Raw Data'!K9)</f>
        <v>-800</v>
      </c>
      <c r="J16" s="37">
        <f>IF($C16="","",'Project Baseline Raw Data'!J9-'Project Baseline Raw Data'!N9)</f>
        <v>0</v>
      </c>
      <c r="K16" s="52" t="s">
        <v>50</v>
      </c>
    </row>
    <row r="17" spans="1:11">
      <c r="A17" s="33" t="str">
        <f>IF('Project Baseline Raw Data'!C10=0,"",'Project Baseline Raw Data'!C10)</f>
        <v>3.1.1</v>
      </c>
      <c r="B17" s="34" t="str">
        <f>IF('Project Baseline Raw Data'!E10=0,"",'Project Baseline Raw Data'!E10)</f>
        <v>Task</v>
      </c>
      <c r="C17" s="35" t="str">
        <f>IF('Project Baseline Raw Data'!D10=0,"",'Project Baseline Raw Data'!D10)</f>
        <v>Establish PR lists</v>
      </c>
      <c r="D17" s="34" t="str">
        <f>IF('Project Baseline Raw Data'!F10=0,"",'Project Baseline Raw Data'!F10)</f>
        <v>Frank Taylor</v>
      </c>
      <c r="E17" s="36" t="str">
        <f>IF('Project Baseline Raw Data'!G10=0,"",'Project Baseline Raw Data'!G10)</f>
        <v>Yes</v>
      </c>
      <c r="F17" s="37">
        <f>IF($C17="","",'Project Baseline Raw Data'!L10-'Project Baseline Raw Data'!H10)</f>
        <v>0</v>
      </c>
      <c r="G17" s="37">
        <f>IF($C17="","",'Project Baseline Raw Data'!M10-'Project Baseline Raw Data'!I10)</f>
        <v>0</v>
      </c>
      <c r="H17" s="37">
        <f>IF($C17="","",('Project Baseline Raw Data'!I10-'Project Baseline Raw Data'!H10)-('Project Baseline Raw Data'!M10-'Project Baseline Raw Data'!L10))</f>
        <v>0</v>
      </c>
      <c r="I17" s="38">
        <f>IF($C17="","",'Project Baseline Raw Data'!O10-'Project Baseline Raw Data'!K10)</f>
        <v>0</v>
      </c>
      <c r="J17" s="37">
        <f>IF($C17="","",'Project Baseline Raw Data'!J10-'Project Baseline Raw Data'!N10)</f>
        <v>60</v>
      </c>
      <c r="K17" s="53"/>
    </row>
    <row r="18" spans="1:11" ht="25.5">
      <c r="A18" s="33">
        <f>IF('Project Baseline Raw Data'!C11=0,"",'Project Baseline Raw Data'!C11)</f>
        <v>3.2</v>
      </c>
      <c r="B18" s="34" t="str">
        <f>IF('Project Baseline Raw Data'!E11=0,"",'Project Baseline Raw Data'!E11)</f>
        <v>Milestone</v>
      </c>
      <c r="C18" s="35" t="str">
        <f>IF('Project Baseline Raw Data'!D11=0,"",'Project Baseline Raw Data'!D11)</f>
        <v>Create campaign execution plan</v>
      </c>
      <c r="D18" s="34" t="str">
        <f>IF('Project Baseline Raw Data'!F11=0,"",'Project Baseline Raw Data'!F11)</f>
        <v>Anna Franklin</v>
      </c>
      <c r="E18" s="36" t="str">
        <f>IF('Project Baseline Raw Data'!G11=0,"",'Project Baseline Raw Data'!G11)</f>
        <v>No</v>
      </c>
      <c r="F18" s="37">
        <f>IF($C18="","",'Project Baseline Raw Data'!L11-'Project Baseline Raw Data'!H11)</f>
        <v>-31</v>
      </c>
      <c r="G18" s="37">
        <f>IF($C18="","",'Project Baseline Raw Data'!M11-'Project Baseline Raw Data'!I11)</f>
        <v>-31</v>
      </c>
      <c r="H18" s="37">
        <f>IF($C18="","",('Project Baseline Raw Data'!I11-'Project Baseline Raw Data'!H11)-('Project Baseline Raw Data'!M11-'Project Baseline Raw Data'!L11))</f>
        <v>0</v>
      </c>
      <c r="I18" s="38">
        <f>IF($C18="","",'Project Baseline Raw Data'!O11-'Project Baseline Raw Data'!K11)</f>
        <v>200</v>
      </c>
      <c r="J18" s="37">
        <f>IF($C18="","",'Project Baseline Raw Data'!J11-'Project Baseline Raw Data'!N11)</f>
        <v>-40</v>
      </c>
      <c r="K18" s="53" t="s">
        <v>54</v>
      </c>
    </row>
    <row r="19" spans="1:11">
      <c r="A19" s="33" t="str">
        <f>IF('Project Baseline Raw Data'!C12=0,"",'Project Baseline Raw Data'!C12)</f>
        <v/>
      </c>
      <c r="B19" s="34" t="str">
        <f>IF('Project Baseline Raw Data'!E12=0,"",'Project Baseline Raw Data'!E12)</f>
        <v/>
      </c>
      <c r="C19" s="35" t="str">
        <f>IF('Project Baseline Raw Data'!D12=0,"",'Project Baseline Raw Data'!D12)</f>
        <v/>
      </c>
      <c r="D19" s="34" t="str">
        <f>IF('Project Baseline Raw Data'!F12=0,"",'Project Baseline Raw Data'!F12)</f>
        <v/>
      </c>
      <c r="E19" s="36" t="str">
        <f>IF('Project Baseline Raw Data'!G12=0,"",'Project Baseline Raw Data'!G12)</f>
        <v/>
      </c>
      <c r="F19" s="37" t="str">
        <f>IF($C19="","",'Project Baseline Raw Data'!L12-'Project Baseline Raw Data'!H12)</f>
        <v/>
      </c>
      <c r="G19" s="37" t="str">
        <f>IF($C19="","",'Project Baseline Raw Data'!M12-'Project Baseline Raw Data'!I12)</f>
        <v/>
      </c>
      <c r="H19" s="37" t="str">
        <f>IF($C19="","",('Project Baseline Raw Data'!I12-'Project Baseline Raw Data'!H12)-('Project Baseline Raw Data'!M12-'Project Baseline Raw Data'!L12))</f>
        <v/>
      </c>
      <c r="I19" s="38" t="str">
        <f>IF($C19="","",'Project Baseline Raw Data'!O12-'Project Baseline Raw Data'!K12)</f>
        <v/>
      </c>
      <c r="J19" s="37" t="str">
        <f>IF($C19="","",'Project Baseline Raw Data'!J12-'Project Baseline Raw Data'!N12)</f>
        <v/>
      </c>
      <c r="K19" s="54"/>
    </row>
    <row r="20" spans="1:11">
      <c r="A20" s="33" t="str">
        <f>IF('Project Baseline Raw Data'!C13=0,"",'Project Baseline Raw Data'!C13)</f>
        <v/>
      </c>
      <c r="B20" s="34" t="str">
        <f>IF('Project Baseline Raw Data'!E13=0,"",'Project Baseline Raw Data'!E13)</f>
        <v/>
      </c>
      <c r="C20" s="35" t="str">
        <f>IF('Project Baseline Raw Data'!D13=0,"",'Project Baseline Raw Data'!D13)</f>
        <v/>
      </c>
      <c r="D20" s="34" t="str">
        <f>IF('Project Baseline Raw Data'!F13=0,"",'Project Baseline Raw Data'!F13)</f>
        <v/>
      </c>
      <c r="E20" s="36" t="str">
        <f>IF('Project Baseline Raw Data'!G13=0,"",'Project Baseline Raw Data'!G13)</f>
        <v/>
      </c>
      <c r="F20" s="37" t="str">
        <f>IF($C20="","",'Project Baseline Raw Data'!L13-'Project Baseline Raw Data'!H13)</f>
        <v/>
      </c>
      <c r="G20" s="37" t="str">
        <f>IF($C20="","",'Project Baseline Raw Data'!M13-'Project Baseline Raw Data'!I13)</f>
        <v/>
      </c>
      <c r="H20" s="37" t="str">
        <f>IF($C20="","",('Project Baseline Raw Data'!I13-'Project Baseline Raw Data'!H13)-('Project Baseline Raw Data'!M13-'Project Baseline Raw Data'!L13))</f>
        <v/>
      </c>
      <c r="I20" s="38" t="str">
        <f>IF($C20="","",'Project Baseline Raw Data'!O13-'Project Baseline Raw Data'!K13)</f>
        <v/>
      </c>
      <c r="J20" s="37" t="str">
        <f>IF($C20="","",'Project Baseline Raw Data'!J13-'Project Baseline Raw Data'!N13)</f>
        <v/>
      </c>
      <c r="K20" s="39"/>
    </row>
    <row r="21" spans="1:11">
      <c r="A21" s="33" t="str">
        <f>IF('Project Baseline Raw Data'!C14=0,"",'Project Baseline Raw Data'!C14)</f>
        <v/>
      </c>
      <c r="B21" s="34" t="str">
        <f>IF('Project Baseline Raw Data'!E14=0,"",'Project Baseline Raw Data'!E14)</f>
        <v/>
      </c>
      <c r="C21" s="35" t="str">
        <f>IF('Project Baseline Raw Data'!D14=0,"",'Project Baseline Raw Data'!D14)</f>
        <v/>
      </c>
      <c r="D21" s="34" t="str">
        <f>IF('Project Baseline Raw Data'!F14=0,"",'Project Baseline Raw Data'!F14)</f>
        <v/>
      </c>
      <c r="E21" s="36" t="str">
        <f>IF('Project Baseline Raw Data'!G14=0,"",'Project Baseline Raw Data'!G14)</f>
        <v/>
      </c>
      <c r="F21" s="37" t="str">
        <f>IF($C21="","",'Project Baseline Raw Data'!L14-'Project Baseline Raw Data'!H14)</f>
        <v/>
      </c>
      <c r="G21" s="37" t="str">
        <f>IF($C21="","",'Project Baseline Raw Data'!M14-'Project Baseline Raw Data'!I14)</f>
        <v/>
      </c>
      <c r="H21" s="37" t="str">
        <f>IF($C21="","",('Project Baseline Raw Data'!I14-'Project Baseline Raw Data'!H14)-('Project Baseline Raw Data'!M14-'Project Baseline Raw Data'!L14))</f>
        <v/>
      </c>
      <c r="I21" s="38" t="str">
        <f>IF($C21="","",'Project Baseline Raw Data'!O14-'Project Baseline Raw Data'!K14)</f>
        <v/>
      </c>
      <c r="J21" s="37" t="str">
        <f>IF($C21="","",'Project Baseline Raw Data'!J14-'Project Baseline Raw Data'!N14)</f>
        <v/>
      </c>
      <c r="K21" s="39"/>
    </row>
    <row r="22" spans="1:11">
      <c r="A22" s="33" t="str">
        <f>IF('Project Baseline Raw Data'!C15=0,"",'Project Baseline Raw Data'!C15)</f>
        <v/>
      </c>
      <c r="B22" s="34" t="str">
        <f>IF('Project Baseline Raw Data'!E15=0,"",'Project Baseline Raw Data'!E15)</f>
        <v/>
      </c>
      <c r="C22" s="35" t="str">
        <f>IF('Project Baseline Raw Data'!D15=0,"",'Project Baseline Raw Data'!D15)</f>
        <v/>
      </c>
      <c r="D22" s="34" t="str">
        <f>IF('Project Baseline Raw Data'!F15=0,"",'Project Baseline Raw Data'!F15)</f>
        <v/>
      </c>
      <c r="E22" s="36" t="str">
        <f>IF('Project Baseline Raw Data'!G15=0,"",'Project Baseline Raw Data'!G15)</f>
        <v/>
      </c>
      <c r="F22" s="37" t="str">
        <f>IF($C22="","",'Project Baseline Raw Data'!L15-'Project Baseline Raw Data'!H15)</f>
        <v/>
      </c>
      <c r="G22" s="37" t="str">
        <f>IF($C22="","",'Project Baseline Raw Data'!M15-'Project Baseline Raw Data'!I15)</f>
        <v/>
      </c>
      <c r="H22" s="37" t="str">
        <f>IF($C22="","",('Project Baseline Raw Data'!I15-'Project Baseline Raw Data'!H15)-('Project Baseline Raw Data'!M15-'Project Baseline Raw Data'!L15))</f>
        <v/>
      </c>
      <c r="I22" s="38" t="str">
        <f>IF($C22="","",'Project Baseline Raw Data'!O15-'Project Baseline Raw Data'!K15)</f>
        <v/>
      </c>
      <c r="J22" s="37" t="str">
        <f>IF($C22="","",'Project Baseline Raw Data'!J15-'Project Baseline Raw Data'!N15)</f>
        <v/>
      </c>
      <c r="K22" s="39"/>
    </row>
    <row r="23" spans="1:11">
      <c r="A23" s="33" t="str">
        <f>IF('Project Baseline Raw Data'!C16=0,"",'Project Baseline Raw Data'!C16)</f>
        <v/>
      </c>
      <c r="B23" s="34" t="str">
        <f>IF('Project Baseline Raw Data'!E16=0,"",'Project Baseline Raw Data'!E16)</f>
        <v/>
      </c>
      <c r="C23" s="35" t="str">
        <f>IF('Project Baseline Raw Data'!D16=0,"",'Project Baseline Raw Data'!D16)</f>
        <v/>
      </c>
      <c r="D23" s="34" t="str">
        <f>IF('Project Baseline Raw Data'!F16=0,"",'Project Baseline Raw Data'!F16)</f>
        <v/>
      </c>
      <c r="E23" s="36" t="str">
        <f>IF('Project Baseline Raw Data'!G16=0,"",'Project Baseline Raw Data'!G16)</f>
        <v/>
      </c>
      <c r="F23" s="37" t="str">
        <f>IF($C23="","",'Project Baseline Raw Data'!L16-'Project Baseline Raw Data'!H16)</f>
        <v/>
      </c>
      <c r="G23" s="37" t="str">
        <f>IF($C23="","",'Project Baseline Raw Data'!M16-'Project Baseline Raw Data'!I16)</f>
        <v/>
      </c>
      <c r="H23" s="37" t="str">
        <f>IF($C23="","",('Project Baseline Raw Data'!I16-'Project Baseline Raw Data'!H16)-('Project Baseline Raw Data'!M16-'Project Baseline Raw Data'!L16))</f>
        <v/>
      </c>
      <c r="I23" s="38" t="str">
        <f>IF($C23="","",'Project Baseline Raw Data'!O16-'Project Baseline Raw Data'!K16)</f>
        <v/>
      </c>
      <c r="J23" s="37" t="str">
        <f>IF($C23="","",'Project Baseline Raw Data'!J16-'Project Baseline Raw Data'!N16)</f>
        <v/>
      </c>
      <c r="K23" s="39"/>
    </row>
    <row r="24" spans="1:11">
      <c r="A24" s="33" t="str">
        <f>IF('Project Baseline Raw Data'!C17=0,"",'Project Baseline Raw Data'!C17)</f>
        <v/>
      </c>
      <c r="B24" s="34" t="str">
        <f>IF('Project Baseline Raw Data'!E17=0,"",'Project Baseline Raw Data'!E17)</f>
        <v/>
      </c>
      <c r="C24" s="35" t="str">
        <f>IF('Project Baseline Raw Data'!D17=0,"",'Project Baseline Raw Data'!D17)</f>
        <v/>
      </c>
      <c r="D24" s="34" t="str">
        <f>IF('Project Baseline Raw Data'!F17=0,"",'Project Baseline Raw Data'!F17)</f>
        <v/>
      </c>
      <c r="E24" s="36" t="str">
        <f>IF('Project Baseline Raw Data'!G17=0,"",'Project Baseline Raw Data'!G17)</f>
        <v/>
      </c>
      <c r="F24" s="37" t="str">
        <f>IF($C24="","",'Project Baseline Raw Data'!L17-'Project Baseline Raw Data'!H17)</f>
        <v/>
      </c>
      <c r="G24" s="37" t="str">
        <f>IF($C24="","",'Project Baseline Raw Data'!M17-'Project Baseline Raw Data'!I17)</f>
        <v/>
      </c>
      <c r="H24" s="37" t="str">
        <f>IF($C24="","",('Project Baseline Raw Data'!I17-'Project Baseline Raw Data'!H17)-('Project Baseline Raw Data'!M17-'Project Baseline Raw Data'!L17))</f>
        <v/>
      </c>
      <c r="I24" s="38" t="str">
        <f>IF($C24="","",'Project Baseline Raw Data'!O17-'Project Baseline Raw Data'!K17)</f>
        <v/>
      </c>
      <c r="J24" s="37" t="str">
        <f>IF($C24="","",'Project Baseline Raw Data'!J17-'Project Baseline Raw Data'!N17)</f>
        <v/>
      </c>
      <c r="K24" s="39"/>
    </row>
    <row r="25" spans="1:11">
      <c r="A25" s="33" t="str">
        <f>IF('Project Baseline Raw Data'!C18=0,"",'Project Baseline Raw Data'!C18)</f>
        <v/>
      </c>
      <c r="B25" s="34" t="str">
        <f>IF('Project Baseline Raw Data'!E18=0,"",'Project Baseline Raw Data'!E18)</f>
        <v/>
      </c>
      <c r="C25" s="35" t="str">
        <f>IF('Project Baseline Raw Data'!D18=0,"",'Project Baseline Raw Data'!D18)</f>
        <v/>
      </c>
      <c r="D25" s="34" t="str">
        <f>IF('Project Baseline Raw Data'!F18=0,"",'Project Baseline Raw Data'!F18)</f>
        <v/>
      </c>
      <c r="E25" s="36" t="str">
        <f>IF('Project Baseline Raw Data'!G18=0,"",'Project Baseline Raw Data'!G18)</f>
        <v/>
      </c>
      <c r="F25" s="37" t="str">
        <f>IF($C25="","",'Project Baseline Raw Data'!L18-'Project Baseline Raw Data'!H18)</f>
        <v/>
      </c>
      <c r="G25" s="37" t="str">
        <f>IF($C25="","",'Project Baseline Raw Data'!M18-'Project Baseline Raw Data'!I18)</f>
        <v/>
      </c>
      <c r="H25" s="37" t="str">
        <f>IF($C25="","",('Project Baseline Raw Data'!I18-'Project Baseline Raw Data'!H18)-('Project Baseline Raw Data'!M18-'Project Baseline Raw Data'!L18))</f>
        <v/>
      </c>
      <c r="I25" s="38" t="str">
        <f>IF($C25="","",'Project Baseline Raw Data'!O18-'Project Baseline Raw Data'!K18)</f>
        <v/>
      </c>
      <c r="J25" s="37" t="str">
        <f>IF($C25="","",'Project Baseline Raw Data'!J18-'Project Baseline Raw Data'!N18)</f>
        <v/>
      </c>
      <c r="K25" s="39"/>
    </row>
    <row r="26" spans="1:11" ht="13.5" thickBot="1">
      <c r="A26" s="40" t="str">
        <f>IF('Project Baseline Raw Data'!C19=0,"",'Project Baseline Raw Data'!C19)</f>
        <v/>
      </c>
      <c r="B26" s="41" t="str">
        <f>IF('Project Baseline Raw Data'!E19=0,"",'Project Baseline Raw Data'!E19)</f>
        <v/>
      </c>
      <c r="C26" s="42" t="str">
        <f>IF('Project Baseline Raw Data'!D18=0,"",'Project Baseline Raw Data'!D19)</f>
        <v/>
      </c>
      <c r="D26" s="41" t="str">
        <f>IF('Project Baseline Raw Data'!F19=0,"",'Project Baseline Raw Data'!F19)</f>
        <v/>
      </c>
      <c r="E26" s="43" t="str">
        <f>IF('Project Baseline Raw Data'!G19=0,"",'Project Baseline Raw Data'!G19)</f>
        <v/>
      </c>
      <c r="F26" s="30" t="str">
        <f>IF($C26="","",'Project Baseline Raw Data'!L19-'Project Baseline Raw Data'!H19)</f>
        <v/>
      </c>
      <c r="G26" s="30" t="str">
        <f>IF($C26="","",'Project Baseline Raw Data'!M19-'Project Baseline Raw Data'!I19)</f>
        <v/>
      </c>
      <c r="H26" s="30" t="str">
        <f>IF($C26="","",('Project Baseline Raw Data'!I19-'Project Baseline Raw Data'!H19)-('Project Baseline Raw Data'!M19-'Project Baseline Raw Data'!L19))</f>
        <v/>
      </c>
      <c r="I26" s="55" t="str">
        <f>IF($C26="","",'Project Baseline Raw Data'!O19-'Project Baseline Raw Data'!K19)</f>
        <v/>
      </c>
      <c r="J26" s="30" t="str">
        <f>IF($C26="","",'Project Baseline Raw Data'!J19-'Project Baseline Raw Data'!N19)</f>
        <v/>
      </c>
      <c r="K26" s="44"/>
    </row>
  </sheetData>
  <pageMargins left="0.7" right="0.7" top="0.75" bottom="0.75" header="0.3" footer="0.3"/>
  <pageSetup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Project Baseline Raw Data</vt:lpstr>
      <vt:lpstr>Project Baseline Change Report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2006-11-09T16:59:48Z</dcterms:created>
  <dcterms:modified xsi:type="dcterms:W3CDTF">2006-11-09T17:01:18Z</dcterms:modified>
</cp:coreProperties>
</file>
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/>
  <bookViews>
    <workbookView xWindow="480" yWindow="15" windowWidth="10395" windowHeight="7695"/>
  </bookViews>
  <sheets>
    <sheet name="Portfolio Analysis" sheetId="1" r:id="rId1"/>
    <sheet name="Portfolio Chart" sheetId="4" r:id="rId2"/>
  </sheets>
  <definedNames>
    <definedName name="vInvestmentName">'Portfolio Analysis'!$A$6:$A$8</definedName>
    <definedName name="vMarketValue">'Portfolio Analysis'!$I$6:$I$8</definedName>
  </definedNames>
  <calcPr calcId="124519"/>
  <webPublishing codePage="1252"/>
</workbook>
</file>

<file path=xl/calcChain.xml><?xml version="1.0" encoding="utf-8"?>
<calcChain xmlns="http://schemas.openxmlformats.org/spreadsheetml/2006/main">
  <c r="I8" i="1"/>
  <c r="J8" s="1"/>
  <c r="G8"/>
  <c r="I6"/>
  <c r="I7"/>
  <c r="G6"/>
  <c r="G7"/>
  <c r="A3"/>
  <c r="K8" l="1"/>
  <c r="G9"/>
  <c r="J1" s="1"/>
  <c r="K7"/>
  <c r="K6"/>
  <c r="J7"/>
  <c r="J6"/>
  <c r="I9"/>
  <c r="J2" s="1"/>
  <c r="K9" l="1"/>
  <c r="J4" s="1"/>
  <c r="J9"/>
  <c r="J3" s="1"/>
</calcChain>
</file>

<file path=xl/sharedStrings.xml><?xml version="1.0" encoding="utf-8"?>
<sst xmlns="http://schemas.openxmlformats.org/spreadsheetml/2006/main" count="26" uniqueCount="24">
  <si>
    <t>Quantity</t>
  </si>
  <si>
    <t>Market Value</t>
  </si>
  <si>
    <t>Trade Fees</t>
  </si>
  <si>
    <t>Current Quote</t>
  </si>
  <si>
    <t>Gain/Loss ($)</t>
  </si>
  <si>
    <t>Gain/Loss (%)</t>
  </si>
  <si>
    <t>Account Name or Number</t>
  </si>
  <si>
    <t>Purchase Price Per Share</t>
  </si>
  <si>
    <t>Symbol</t>
  </si>
  <si>
    <t>A Datum Corporation</t>
  </si>
  <si>
    <t>Woodgrove Bank</t>
  </si>
  <si>
    <t>Total cost of accounts</t>
  </si>
  <si>
    <t>Value of accounts</t>
  </si>
  <si>
    <t>Investment Name</t>
  </si>
  <si>
    <t>Portfolio Analysis</t>
  </si>
  <si>
    <t>Total</t>
  </si>
  <si>
    <t>Adventure Works</t>
  </si>
  <si>
    <t>Wingtip Toys</t>
  </si>
  <si>
    <t>AAAA</t>
  </si>
  <si>
    <t>Unrealized gain/loss $</t>
  </si>
  <si>
    <t>Unrealized gain/loss %</t>
  </si>
  <si>
    <t>AWAW</t>
  </si>
  <si>
    <t>WWTT</t>
  </si>
  <si>
    <r>
      <t xml:space="preserve">Total Cost </t>
    </r>
    <r>
      <rPr>
        <b/>
        <sz val="10"/>
        <color theme="1"/>
        <rFont val="Rockwell"/>
        <family val="1"/>
        <scheme val="minor"/>
      </rPr>
      <t>(Purchase Price + Fees)</t>
    </r>
  </si>
</sst>
</file>

<file path=xl/styles.xml><?xml version="1.0" encoding="utf-8"?>
<styleSheet xmlns="http://schemas.openxmlformats.org/spreadsheetml/2006/main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9">
    <font>
      <sz val="10"/>
      <color theme="1"/>
      <name val="Rockwell"/>
      <family val="1"/>
      <scheme val="minor"/>
    </font>
    <font>
      <sz val="8"/>
      <color theme="1"/>
      <name val="Arial"/>
    </font>
    <font>
      <b/>
      <sz val="20"/>
      <color theme="1"/>
      <name val="Rockwell"/>
      <family val="1"/>
      <scheme val="major"/>
    </font>
    <font>
      <b/>
      <sz val="10"/>
      <color theme="1"/>
      <name val="Rockwell"/>
      <family val="1"/>
      <scheme val="minor"/>
    </font>
    <font>
      <sz val="10"/>
      <color theme="1"/>
      <name val="Rockwell"/>
      <family val="1"/>
      <scheme val="minor"/>
    </font>
    <font>
      <b/>
      <sz val="12"/>
      <color theme="1"/>
      <name val="Rockwell"/>
      <family val="1"/>
      <scheme val="minor"/>
    </font>
    <font>
      <sz val="10"/>
      <name val="Rockwell"/>
      <family val="1"/>
      <scheme val="minor"/>
    </font>
    <font>
      <b/>
      <sz val="10"/>
      <name val="Rockwell"/>
      <family val="1"/>
      <scheme val="minor"/>
    </font>
    <font>
      <b/>
      <sz val="10"/>
      <name val="Rockwell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/>
      <diagonal/>
    </border>
    <border>
      <left/>
      <right/>
      <top style="thin">
        <color theme="4" tint="0.39994506668294322"/>
      </top>
      <bottom/>
      <diagonal/>
    </border>
    <border>
      <left style="thin">
        <color theme="4" tint="0.39994506668294322"/>
      </left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4" fillId="0" borderId="0" xfId="0" applyFont="1"/>
    <xf numFmtId="0" fontId="4" fillId="0" borderId="0" xfId="0" applyFont="1" applyBorder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6" fillId="0" borderId="0" xfId="0" applyFont="1" applyFill="1" applyBorder="1"/>
    <xf numFmtId="44" fontId="6" fillId="0" borderId="0" xfId="0" applyNumberFormat="1" applyFont="1" applyFill="1" applyBorder="1"/>
    <xf numFmtId="10" fontId="6" fillId="0" borderId="0" xfId="0" applyNumberFormat="1" applyFont="1" applyFill="1" applyBorder="1"/>
    <xf numFmtId="0" fontId="8" fillId="0" borderId="0" xfId="0" applyFont="1" applyFill="1" applyBorder="1"/>
    <xf numFmtId="44" fontId="8" fillId="0" borderId="0" xfId="0" applyNumberFormat="1" applyFont="1" applyFill="1" applyBorder="1"/>
    <xf numFmtId="10" fontId="8" fillId="0" borderId="0" xfId="0" applyNumberFormat="1" applyFont="1" applyFill="1" applyBorder="1"/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4" fontId="5" fillId="2" borderId="4" xfId="0" applyNumberFormat="1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vertical="center"/>
    </xf>
    <xf numFmtId="0" fontId="3" fillId="0" borderId="1" xfId="0" applyFont="1" applyBorder="1" applyAlignment="1"/>
    <xf numFmtId="8" fontId="3" fillId="2" borderId="1" xfId="0" applyNumberFormat="1" applyFont="1" applyFill="1" applyBorder="1" applyAlignment="1">
      <alignment vertical="center"/>
    </xf>
    <xf numFmtId="0" fontId="3" fillId="2" borderId="1" xfId="0" applyFont="1" applyFill="1" applyBorder="1"/>
    <xf numFmtId="0" fontId="3" fillId="0" borderId="5" xfId="0" applyFont="1" applyFill="1" applyBorder="1" applyAlignment="1">
      <alignment vertical="center"/>
    </xf>
    <xf numFmtId="0" fontId="3" fillId="0" borderId="5" xfId="0" applyFont="1" applyBorder="1" applyAlignment="1"/>
    <xf numFmtId="10" fontId="3" fillId="2" borderId="5" xfId="0" applyNumberFormat="1" applyFont="1" applyFill="1" applyBorder="1" applyAlignment="1">
      <alignment vertical="center"/>
    </xf>
    <xf numFmtId="10" fontId="3" fillId="2" borderId="5" xfId="0" applyNumberFormat="1" applyFont="1" applyFill="1" applyBorder="1"/>
  </cellXfs>
  <cellStyles count="1">
    <cellStyle name="Normal" xfId="0" builtinId="0" customBuiltin="1"/>
  </cellStyles>
  <dxfs count="30">
    <dxf>
      <font>
        <color indexed="10"/>
      </font>
    </dxf>
    <dxf>
      <font>
        <u val="none"/>
        <vertAlign val="baseline"/>
        <sz val="10"/>
        <name val="Rockwel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indent="0" relativeIndent="255" justifyLastLine="0" shrinkToFit="0" mergeCell="0" readingOrder="0"/>
    </dxf>
    <dxf>
      <font>
        <u val="none"/>
        <vertAlign val="baseline"/>
        <sz val="10"/>
        <name val="Rockwel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indent="0" relativeIndent="255" justifyLastLine="0" shrinkToFit="0" mergeCell="0" readingOrder="0"/>
    </dxf>
    <dxf>
      <font>
        <u val="none"/>
        <vertAlign val="baseline"/>
        <sz val="10"/>
        <name val="Rockwel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relativeIndent="255" justifyLastLine="0" shrinkToFit="0" mergeCell="0" readingOrder="0"/>
      <border diagonalUp="0" diagonalDown="0">
        <left style="thin">
          <color indexed="18"/>
        </left>
        <right style="thin">
          <color indexed="18"/>
        </right>
      </border>
    </dxf>
    <dxf>
      <font>
        <u val="none"/>
        <vertAlign val="baseline"/>
        <name val="Rockwell"/>
        <scheme val="minor"/>
      </font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Rockwell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u val="none"/>
        <vertAlign val="baseline"/>
        <sz val="10"/>
        <name val="Rockwell"/>
        <scheme val="minor"/>
      </font>
      <numFmt numFmtId="164" formatCode="_(\$* #,##0.00_);_(\$* \(#,##0.00\);_(\$* &quot;-&quot;??_);_(@_)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Rockwell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u val="none"/>
        <vertAlign val="baseline"/>
        <sz val="10"/>
        <name val="Rockwell"/>
        <scheme val="minor"/>
      </font>
      <numFmt numFmtId="164" formatCode="_(\$* #,##0.00_);_(\$* \(#,##0.00\);_(\$* &quot;-&quot;??_);_(@_)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Rockwell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u val="none"/>
        <vertAlign val="baseline"/>
        <sz val="10"/>
        <name val="Rockwell"/>
        <scheme val="minor"/>
      </font>
      <numFmt numFmtId="164" formatCode="_(\$* #,##0.00_);_(\$* \(#,##0.00\);_(\$* &quot;-&quot;??_);_(@_)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Rockwel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u val="none"/>
        <vertAlign val="baseline"/>
        <sz val="10"/>
        <name val="Rockwell"/>
        <scheme val="minor"/>
      </font>
      <numFmt numFmtId="164" formatCode="_(\$* #,##0.00_);_(\$* \(#,##0.00\);_(\$* &quot;-&quot;??_);_(@_)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Rockwell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u val="none"/>
        <vertAlign val="baseline"/>
        <sz val="10"/>
        <name val="Rockwell"/>
        <scheme val="minor"/>
      </font>
      <numFmt numFmtId="164" formatCode="_(\$* #,##0.00_);_(\$* \(#,##0.00\);_(\$* &quot;-&quot;??_);_(@_)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Rockwel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u val="none"/>
        <vertAlign val="baseline"/>
        <sz val="10"/>
        <name val="Rockwell"/>
        <scheme val="minor"/>
      </font>
      <numFmt numFmtId="164" formatCode="_(\$* #,##0.00_);_(\$* \(#,##0.00\);_(\$* &quot;-&quot;??_);_(@_)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Rockwel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u val="none"/>
        <vertAlign val="baseline"/>
        <sz val="10"/>
        <name val="Rockwell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Rockwel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u val="none"/>
        <vertAlign val="baseline"/>
        <sz val="10"/>
        <name val="Rockwell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Rockwel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u val="none"/>
        <vertAlign val="baseline"/>
        <sz val="10"/>
        <name val="Rockwell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Rockwel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u val="none"/>
        <vertAlign val="baseline"/>
        <sz val="10"/>
        <name val="Rockwell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Rockwel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3"/>
  <c:chart>
    <c:title>
      <c:tx>
        <c:rich>
          <a:bodyPr/>
          <a:lstStyle/>
          <a:p>
            <a:pPr>
              <a:defRPr/>
            </a:pPr>
            <a:r>
              <a:rPr lang="en-US"/>
              <a:t>Percentage based on market value</a:t>
            </a:r>
          </a:p>
        </c:rich>
      </c:tx>
    </c:title>
    <c:view3D>
      <c:rotX val="30"/>
      <c:perspective val="50"/>
    </c:view3D>
    <c:plotArea>
      <c:layout/>
      <c:pie3DChart>
        <c:varyColors val="1"/>
        <c:ser>
          <c:idx val="0"/>
          <c:order val="0"/>
          <c:tx>
            <c:strRef>
              <c:f>'Portfolio Analysis'!$I$5</c:f>
              <c:strCache>
                <c:ptCount val="1"/>
                <c:pt idx="0">
                  <c:v>Market Value</c:v>
                </c:pt>
              </c:strCache>
            </c:strRef>
          </c:tx>
          <c:dLbls>
            <c:showPercent val="1"/>
          </c:dLbls>
          <c:cat>
            <c:strRef>
              <c:f>'Portfolio Analysis'!$A$6:$A$9</c:f>
              <c:strCache>
                <c:ptCount val="3"/>
                <c:pt idx="0">
                  <c:v>A Datum Corporation</c:v>
                </c:pt>
                <c:pt idx="1">
                  <c:v>Adventure Works</c:v>
                </c:pt>
                <c:pt idx="2">
                  <c:v>Wingtip Toys</c:v>
                </c:pt>
              </c:strCache>
            </c:strRef>
          </c:cat>
          <c:val>
            <c:numRef>
              <c:f>'Portfolio Analysis'!$I$6:$I$9</c:f>
              <c:numCache>
                <c:formatCode>_("$"* #,##0.00_);_("$"* \(#,##0.00\);_("$"* "-"??_);_(@_)</c:formatCode>
                <c:ptCount val="3"/>
                <c:pt idx="0">
                  <c:v>5699</c:v>
                </c:pt>
                <c:pt idx="1">
                  <c:v>4782.5</c:v>
                </c:pt>
                <c:pt idx="2">
                  <c:v>9072</c:v>
                </c:pt>
              </c:numCache>
            </c:numRef>
          </c:val>
        </c:ser>
        <c:dLbls>
          <c:showPercent val="1"/>
        </c:dLbls>
      </c:pie3DChart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48" workbookViewId="0" zoomToFit="1"/>
  </sheetViews>
  <pageMargins left="0.7" right="0.7" top="0.75" bottom="0.75" header="0.3" footer="0.3"/>
  <pageSetup orientation="landscape" horizontalDpi="4294967292" verticalDpi="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43293" cy="628778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" name="Table1" displayName="Table1" ref="A5:K9" totalsRowCount="1" headerRowDxfId="3" dataDxfId="2" totalsRowDxfId="1">
  <autoFilter ref="A5:K8"/>
  <tableColumns count="11">
    <tableColumn id="1" name="Investment Name" totalsRowLabel="Total" dataDxfId="24" totalsRowDxfId="25"/>
    <tableColumn id="2" name="Account Name or Number" dataDxfId="22" totalsRowDxfId="23"/>
    <tableColumn id="3" name="Symbol" dataDxfId="20" totalsRowDxfId="21"/>
    <tableColumn id="4" name="Quantity" dataDxfId="18" totalsRowDxfId="19"/>
    <tableColumn id="5" name="Purchase Price Per Share" dataDxfId="16" totalsRowDxfId="17"/>
    <tableColumn id="6" name="Trade Fees" dataDxfId="14" totalsRowDxfId="15"/>
    <tableColumn id="7" name="Total Cost (Purchase Price + Fees)" totalsRowFunction="sum" dataDxfId="12" totalsRowDxfId="13">
      <calculatedColumnFormula>([Quantity]*[Purchase Price Per Share])+[Trade Fees]</calculatedColumnFormula>
    </tableColumn>
    <tableColumn id="8" name="Current Quote" dataDxfId="10" totalsRowDxfId="11"/>
    <tableColumn id="9" name="Market Value" totalsRowFunction="sum" dataDxfId="8" totalsRowDxfId="9">
      <calculatedColumnFormula>[Quantity]*[Current Quote]</calculatedColumnFormula>
    </tableColumn>
    <tableColumn id="10" name="Gain/Loss ($)" totalsRowFunction="sum" dataDxfId="6" totalsRowDxfId="7">
      <calculatedColumnFormula>[Market Value]-[Total Cost (Purchase Price + Fees)]</calculatedColumnFormula>
    </tableColumn>
    <tableColumn id="11" name="Gain/Loss (%)" totalsRowFunction="custom" dataDxfId="4" totalsRowDxfId="5">
      <calculatedColumnFormula>IF(ISERR([Market Value]/[Total Cost (Purchase Price + Fees)]),"",([Market Value]/[Total Cost (Purchase Price + Fees)])-100%)</calculatedColumnFormula>
      <totalsRowFormula>Table1[[#Totals],[Market Value]]/Table1[[#Totals],[Total Cost (Purchase Price + Fees)]]-100%</totalsRow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Foundry">
  <a:themeElements>
    <a:clrScheme name="Foundry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E47E7E"/>
      </a:hlink>
      <a:folHlink>
        <a:srgbClr val="C84447"/>
      </a:folHlink>
    </a:clrScheme>
    <a:fontScheme name="Foundry">
      <a:majorFont>
        <a:latin typeface="Rockwell"/>
        <a:ea typeface=""/>
        <a:cs typeface=""/>
        <a:font script="Grek" typeface="Times New Roman"/>
        <a:font script="Cyrl" typeface="Times New Roman"/>
        <a:font script="Jpan" typeface="HG明朝B"/>
        <a:font script="Hang" typeface="바탕"/>
        <a:font script="Hans" typeface="宋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/>
        <a:ea typeface=""/>
        <a:cs typeface=""/>
        <a:font script="Grek" typeface="Times New Roman"/>
        <a:font script="Cyrl" typeface="Times New Roman"/>
        <a:font script="Jpan" typeface="HG明朝B"/>
        <a:font script="Hang" typeface="바탕"/>
        <a:font script="Hans" typeface="宋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Foundry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508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75000"/>
                <a:satMod val="400000"/>
              </a:schemeClr>
            </a:gs>
            <a:gs pos="20000">
              <a:schemeClr val="phClr">
                <a:tint val="80000"/>
                <a:satMod val="355000"/>
              </a:schemeClr>
            </a:gs>
            <a:gs pos="100000">
              <a:schemeClr val="phClr">
                <a:tint val="95000"/>
                <a:shade val="55000"/>
                <a:satMod val="355000"/>
              </a:schemeClr>
            </a:gs>
          </a:gsLst>
          <a:path path="circle">
            <a:fillToRect l="140000" t="120000" r="105000" b="150000"/>
          </a:path>
        </a:gradFill>
        <a:blipFill>
          <a:blip xmlns:r="http://schemas.openxmlformats.org/officeDocument/2006/relationships" r:embed="rId1">
            <a:duotone>
              <a:schemeClr val="phClr">
                <a:shade val="30000"/>
                <a:satMod val="120000"/>
              </a:schemeClr>
              <a:schemeClr val="phClr">
                <a:tint val="70000"/>
                <a:satMod val="250000"/>
              </a:schemeClr>
            </a:duotone>
          </a:blip>
          <a:tile tx="0" ty="0" sx="50000" sy="50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61"/>
  <sheetViews>
    <sheetView showGridLines="0" tabSelected="1" workbookViewId="0">
      <pane ySplit="5" topLeftCell="A6" activePane="bottomLeft" state="frozen"/>
      <selection pane="bottomLeft" activeCell="A6" sqref="A6"/>
    </sheetView>
  </sheetViews>
  <sheetFormatPr defaultRowHeight="15.95" customHeight="1"/>
  <cols>
    <col min="1" max="1" width="26.5703125" style="1" customWidth="1"/>
    <col min="2" max="2" width="27.85546875" style="1" customWidth="1"/>
    <col min="3" max="3" width="11.140625" style="1" customWidth="1"/>
    <col min="4" max="4" width="12" style="1" customWidth="1"/>
    <col min="5" max="5" width="12.85546875" style="1" customWidth="1"/>
    <col min="6" max="6" width="10.5703125" style="1" customWidth="1"/>
    <col min="7" max="7" width="16.42578125" style="1" customWidth="1"/>
    <col min="8" max="8" width="10.5703125" style="1" customWidth="1"/>
    <col min="9" max="9" width="16.7109375" style="1" customWidth="1"/>
    <col min="10" max="10" width="12.85546875" style="1" customWidth="1"/>
    <col min="11" max="11" width="11.85546875" style="1" customWidth="1"/>
  </cols>
  <sheetData>
    <row r="1" spans="1:11" ht="18.75" customHeight="1">
      <c r="A1" s="11" t="s">
        <v>14</v>
      </c>
      <c r="B1" s="12"/>
      <c r="C1" s="12"/>
      <c r="D1" s="12"/>
      <c r="E1" s="12"/>
      <c r="F1" s="12"/>
      <c r="G1" s="18" t="s">
        <v>11</v>
      </c>
      <c r="H1" s="19"/>
      <c r="I1" s="19"/>
      <c r="J1" s="20">
        <f>Table1[[#Totals],[Total Cost (Purchase Price + Fees)]]</f>
        <v>18770</v>
      </c>
      <c r="K1" s="21"/>
    </row>
    <row r="2" spans="1:11" ht="18.75" customHeight="1">
      <c r="A2" s="13"/>
      <c r="B2" s="14"/>
      <c r="C2" s="14"/>
      <c r="D2" s="14"/>
      <c r="E2" s="14"/>
      <c r="F2" s="14"/>
      <c r="G2" s="18" t="s">
        <v>12</v>
      </c>
      <c r="H2" s="19"/>
      <c r="I2" s="19"/>
      <c r="J2" s="20">
        <f>Table1[[#Totals],[Market Value]]</f>
        <v>19553.5</v>
      </c>
      <c r="K2" s="21"/>
    </row>
    <row r="3" spans="1:11" ht="18.75" customHeight="1">
      <c r="A3" s="15">
        <f ca="1">TODAY()</f>
        <v>39191</v>
      </c>
      <c r="B3" s="16"/>
      <c r="C3" s="16"/>
      <c r="D3" s="16"/>
      <c r="E3" s="16"/>
      <c r="F3" s="16"/>
      <c r="G3" s="18" t="s">
        <v>19</v>
      </c>
      <c r="H3" s="19"/>
      <c r="I3" s="19"/>
      <c r="J3" s="20">
        <f>Table1[[#Totals],[Gain/Loss ($)]]</f>
        <v>783.5</v>
      </c>
      <c r="K3" s="21"/>
    </row>
    <row r="4" spans="1:11" ht="19.5" customHeight="1">
      <c r="A4" s="17"/>
      <c r="B4" s="16"/>
      <c r="C4" s="16"/>
      <c r="D4" s="16"/>
      <c r="E4" s="16"/>
      <c r="F4" s="16"/>
      <c r="G4" s="22" t="s">
        <v>20</v>
      </c>
      <c r="H4" s="23"/>
      <c r="I4" s="23"/>
      <c r="J4" s="24">
        <f>Table1[[#Totals],[Gain/Loss (%)]]</f>
        <v>4.17421417155035E-2</v>
      </c>
      <c r="K4" s="25"/>
    </row>
    <row r="5" spans="1:11" ht="38.25">
      <c r="A5" s="3" t="s">
        <v>13</v>
      </c>
      <c r="B5" s="3" t="s">
        <v>6</v>
      </c>
      <c r="C5" s="4" t="s">
        <v>8</v>
      </c>
      <c r="D5" s="4" t="s">
        <v>0</v>
      </c>
      <c r="E5" s="4" t="s">
        <v>7</v>
      </c>
      <c r="F5" s="4" t="s">
        <v>2</v>
      </c>
      <c r="G5" s="4" t="s">
        <v>23</v>
      </c>
      <c r="H5" s="4" t="s">
        <v>3</v>
      </c>
      <c r="I5" s="4" t="s">
        <v>1</v>
      </c>
      <c r="J5" s="4" t="s">
        <v>4</v>
      </c>
      <c r="K5" s="4" t="s">
        <v>5</v>
      </c>
    </row>
    <row r="6" spans="1:11" ht="15.95" customHeight="1">
      <c r="A6" s="5" t="s">
        <v>9</v>
      </c>
      <c r="B6" s="5" t="s">
        <v>10</v>
      </c>
      <c r="C6" s="5" t="s">
        <v>18</v>
      </c>
      <c r="D6" s="5">
        <v>100</v>
      </c>
      <c r="E6" s="6">
        <v>49</v>
      </c>
      <c r="F6" s="6">
        <v>29</v>
      </c>
      <c r="G6" s="6">
        <f>([Quantity]*[Purchase Price Per Share])+[Trade Fees]</f>
        <v>4929</v>
      </c>
      <c r="H6" s="6">
        <v>56.99</v>
      </c>
      <c r="I6" s="6">
        <f>[Quantity]*[Current Quote]</f>
        <v>5699</v>
      </c>
      <c r="J6" s="6">
        <f>[Market Value]-[Total Cost (Purchase Price + Fees)]</f>
        <v>770</v>
      </c>
      <c r="K6" s="7">
        <f>IF(ISERR([Market Value]/[Total Cost (Purchase Price + Fees)]),"",([Market Value]/[Total Cost (Purchase Price + Fees)])-100%)</f>
        <v>0.1562182998579833</v>
      </c>
    </row>
    <row r="7" spans="1:11" ht="15.95" customHeight="1">
      <c r="A7" s="5" t="s">
        <v>16</v>
      </c>
      <c r="B7" s="5" t="s">
        <v>10</v>
      </c>
      <c r="C7" s="5" t="s">
        <v>21</v>
      </c>
      <c r="D7" s="5">
        <v>250</v>
      </c>
      <c r="E7" s="6">
        <v>21.56</v>
      </c>
      <c r="F7" s="6">
        <v>13</v>
      </c>
      <c r="G7" s="6">
        <f>([Quantity]*[Purchase Price Per Share])+[Trade Fees]</f>
        <v>5403</v>
      </c>
      <c r="H7" s="6">
        <v>19.13</v>
      </c>
      <c r="I7" s="6">
        <f>[Quantity]*[Current Quote]</f>
        <v>4782.5</v>
      </c>
      <c r="J7" s="6">
        <f>[Market Value]-[Total Cost (Purchase Price + Fees)]</f>
        <v>-620.5</v>
      </c>
      <c r="K7" s="7">
        <f>IF(ISERR([Market Value]/[Total Cost (Purchase Price + Fees)]),"",([Market Value]/[Total Cost (Purchase Price + Fees)])-100%)</f>
        <v>-0.11484360540440497</v>
      </c>
    </row>
    <row r="8" spans="1:11" ht="15.95" customHeight="1">
      <c r="A8" s="5" t="s">
        <v>17</v>
      </c>
      <c r="B8" s="5" t="s">
        <v>10</v>
      </c>
      <c r="C8" s="5" t="s">
        <v>22</v>
      </c>
      <c r="D8" s="5">
        <v>1200</v>
      </c>
      <c r="E8" s="6">
        <v>7.01</v>
      </c>
      <c r="F8" s="6">
        <v>26</v>
      </c>
      <c r="G8" s="6">
        <f>([Quantity]*[Purchase Price Per Share])+[Trade Fees]</f>
        <v>8438</v>
      </c>
      <c r="H8" s="6">
        <v>7.56</v>
      </c>
      <c r="I8" s="6">
        <f>[Quantity]*[Current Quote]</f>
        <v>9072</v>
      </c>
      <c r="J8" s="6">
        <f>[Market Value]-[Total Cost (Purchase Price + Fees)]</f>
        <v>634</v>
      </c>
      <c r="K8" s="7">
        <f>IF(ISERR([Market Value]/[Total Cost (Purchase Price + Fees)]),"",([Market Value]/[Total Cost (Purchase Price + Fees)])-100%)</f>
        <v>7.5136288219957326E-2</v>
      </c>
    </row>
    <row r="9" spans="1:11" ht="15.95" customHeight="1">
      <c r="A9" s="8" t="s">
        <v>15</v>
      </c>
      <c r="B9" s="8"/>
      <c r="C9" s="8"/>
      <c r="D9" s="8"/>
      <c r="E9" s="8"/>
      <c r="F9" s="8"/>
      <c r="G9" s="9">
        <f>SUBTOTAL(109,[Total Cost (Purchase Price + Fees)])</f>
        <v>18770</v>
      </c>
      <c r="H9" s="8"/>
      <c r="I9" s="9">
        <f>SUBTOTAL(109,[Market Value])</f>
        <v>19553.5</v>
      </c>
      <c r="J9" s="9">
        <f>SUBTOTAL(109,[Gain/Loss ($)])</f>
        <v>783.5</v>
      </c>
      <c r="K9" s="10">
        <f>Table1[[#Totals],[Market Value]]/Table1[[#Totals],[Total Cost (Purchase Price + Fees)]]-100%</f>
        <v>4.17421417155035E-2</v>
      </c>
    </row>
    <row r="13" spans="1:11" ht="15.95" customHeight="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1" ht="15.95" customHeight="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1" ht="15.95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1:11" ht="15.95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1:11" ht="15.9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1:11" ht="15.95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11" ht="15.9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1:11" ht="15.9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11" ht="15.9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1:11" ht="15.9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1:11" ht="15.9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1" ht="15.9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1:11" ht="15.9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1:11" ht="15.9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</row>
    <row r="27" spans="1:11" ht="15.9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</row>
    <row r="28" spans="1:11" ht="15.9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  <row r="29" spans="1:11" ht="15.9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 ht="15.9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</row>
    <row r="31" spans="1:11" ht="15.9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</row>
    <row r="32" spans="1:11" ht="15.9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</row>
    <row r="33" spans="1:11" ht="15.9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spans="1:11" ht="15.9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spans="1:11" ht="15.9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</row>
    <row r="36" spans="1:11" ht="15.9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 ht="15.9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</row>
    <row r="38" spans="1:11" ht="15.9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</row>
    <row r="39" spans="1:11" ht="15.9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</row>
    <row r="40" spans="1:11" ht="15.9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</row>
    <row r="41" spans="1:11" ht="15.9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</row>
    <row r="42" spans="1:11" ht="15.9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</row>
    <row r="43" spans="1:11" ht="15.9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</row>
    <row r="44" spans="1:11" ht="15.9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</row>
    <row r="45" spans="1:11" ht="15.9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</row>
    <row r="46" spans="1:11" ht="15.9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</row>
    <row r="47" spans="1:11" ht="15.9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</row>
    <row r="48" spans="1:11" ht="15.9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</row>
    <row r="49" spans="1:11" ht="15.9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</row>
    <row r="50" spans="1:11" ht="15.9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</row>
    <row r="51" spans="1:11" ht="15.9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</row>
    <row r="52" spans="1:11" ht="15.9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</row>
    <row r="53" spans="1:11" ht="15.9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</row>
    <row r="54" spans="1:11" ht="15.9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</row>
    <row r="55" spans="1:11" ht="15.9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</row>
    <row r="56" spans="1:11" ht="15.9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</row>
    <row r="57" spans="1:11" ht="15.9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</row>
    <row r="58" spans="1:11" ht="15.9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</row>
    <row r="59" spans="1:11" ht="15.9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</row>
    <row r="60" spans="1:11" ht="15.9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</row>
    <row r="61" spans="1:11" ht="15.9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</row>
  </sheetData>
  <mergeCells count="10">
    <mergeCell ref="A1:F2"/>
    <mergeCell ref="A3:F4"/>
    <mergeCell ref="G3:I3"/>
    <mergeCell ref="J3:K3"/>
    <mergeCell ref="G4:I4"/>
    <mergeCell ref="J4:K4"/>
    <mergeCell ref="G2:I2"/>
    <mergeCell ref="J2:K2"/>
    <mergeCell ref="G1:I1"/>
    <mergeCell ref="J1:K1"/>
  </mergeCells>
  <phoneticPr fontId="1" type="noConversion"/>
  <conditionalFormatting sqref="J3:K4 J6:K9">
    <cfRule type="cellIs" dxfId="0" priority="3" operator="lessThan">
      <formula>0</formula>
    </cfRule>
  </conditionalFormatting>
  <conditionalFormatting sqref="J6:J9">
    <cfRule type="iconSet" priority="5">
      <iconSet iconSet="3Arrows">
        <cfvo type="percentile" val="0"/>
        <cfvo type="num" val="-100"/>
        <cfvo type="num" val="100"/>
      </iconSet>
    </cfRule>
  </conditionalFormatting>
  <conditionalFormatting sqref="I6:I8">
    <cfRule type="dataBar" priority="23">
      <formula>MAX(IF(ISBLANK($I$6:$I$9), "", IF(ISERROR($I$6:$I$9), "", $I$6:$I$9)))</formula>
      <dataBar>
        <cfvo type="min" val="0"/>
        <cfvo type="max" val="0"/>
        <color theme="6"/>
      </dataBar>
    </cfRule>
  </conditionalFormatting>
  <pageMargins left="0.5" right="0.5" top="0.75" bottom="0.5" header="0.5" footer="0.5"/>
  <pageSetup scale="75" orientation="landscape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Portfolio Analysis</vt:lpstr>
      <vt:lpstr>Portfolio Chart</vt:lpstr>
      <vt:lpstr>vInvestmentName</vt:lpstr>
      <vt:lpstr>vMarketValue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Microsoft Corporation</dc:creator>
  <cp:lastModifiedBy>Matthew Hosek</cp:lastModifiedBy>
  <dcterms:created xsi:type="dcterms:W3CDTF">2002-11-14T21:39:52Z</dcterms:created>
  <dcterms:modified xsi:type="dcterms:W3CDTF">2007-04-19T23:43:11Z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
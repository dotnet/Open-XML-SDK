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hidePivotFieldList="1" autoCompressPictures="0"/>
  <bookViews>
    <workbookView xWindow="1110" yWindow="4620" windowWidth="11340" windowHeight="4755" tabRatio="872"/>
  </bookViews>
  <sheets>
    <sheet name="YTD Budget Summary" sheetId="12" r:id="rId1"/>
    <sheet name="Monthly Expenses" sheetId="11" r:id="rId2"/>
    <sheet name="1000-Office" sheetId="8" r:id="rId3"/>
    <sheet name="2000-Store" sheetId="17" r:id="rId4"/>
    <sheet name="3000-Staffing" sheetId="18" r:id="rId5"/>
    <sheet name="4000-Equipment" sheetId="19" r:id="rId6"/>
    <sheet name="5000-Other" sheetId="20" r:id="rId7"/>
  </sheets>
  <calcPr calcId="124519"/>
  <webPublishing codePage="1252"/>
</workbook>
</file>

<file path=xl/calcChain.xml><?xml version="1.0" encoding="utf-8"?>
<calcChain xmlns="http://schemas.openxmlformats.org/spreadsheetml/2006/main">
  <c r="J2" i="20"/>
  <c r="J3"/>
  <c r="J2" i="19"/>
  <c r="J3"/>
  <c r="J2" i="18"/>
  <c r="J3"/>
  <c r="J4"/>
  <c r="J2" i="17"/>
  <c r="J3"/>
  <c r="J4"/>
  <c r="J2" i="8"/>
  <c r="J3"/>
  <c r="J4"/>
  <c r="J5"/>
  <c r="N9" i="11"/>
  <c r="L9"/>
  <c r="K9"/>
  <c r="J9"/>
  <c r="I9"/>
  <c r="H9"/>
  <c r="G9"/>
  <c r="F9"/>
  <c r="E9"/>
  <c r="D9"/>
  <c r="N8"/>
  <c r="L8"/>
  <c r="K8"/>
  <c r="J8"/>
  <c r="I8"/>
  <c r="H8"/>
  <c r="G8"/>
  <c r="F8"/>
  <c r="E8"/>
  <c r="D8"/>
  <c r="N7"/>
  <c r="L7"/>
  <c r="K7"/>
  <c r="J7"/>
  <c r="I7"/>
  <c r="H7"/>
  <c r="G7"/>
  <c r="F7"/>
  <c r="E7"/>
  <c r="D7"/>
  <c r="N6"/>
  <c r="L6"/>
  <c r="K6"/>
  <c r="J6"/>
  <c r="I6"/>
  <c r="H6"/>
  <c r="G6"/>
  <c r="F6"/>
  <c r="E6"/>
  <c r="D6"/>
  <c r="N5"/>
  <c r="L5"/>
  <c r="K5"/>
  <c r="J5"/>
  <c r="I5"/>
  <c r="H5"/>
  <c r="G5"/>
  <c r="F5"/>
  <c r="E5"/>
  <c r="D5"/>
  <c r="M5"/>
  <c r="M6"/>
  <c r="M7"/>
  <c r="M8"/>
  <c r="M9"/>
  <c r="C5"/>
  <c r="C9"/>
  <c r="C8"/>
  <c r="C7"/>
  <c r="C6"/>
  <c r="D10" i="12"/>
  <c r="E4" i="20"/>
  <c r="E4" i="19"/>
  <c r="E5" i="18"/>
  <c r="E5" i="17"/>
  <c r="E6" i="8"/>
  <c r="O9" i="11" l="1"/>
  <c r="O5" l="1"/>
  <c r="O7"/>
  <c r="O8"/>
  <c r="D10"/>
  <c r="F10"/>
  <c r="H10"/>
  <c r="L10"/>
  <c r="M10"/>
  <c r="C10"/>
  <c r="E10"/>
  <c r="G10"/>
  <c r="I10"/>
  <c r="J10"/>
  <c r="K10"/>
  <c r="N10"/>
  <c r="O6"/>
  <c r="C8" i="12"/>
  <c r="E8" s="1"/>
  <c r="F8" s="1"/>
  <c r="O10" i="11" l="1"/>
  <c r="C6" i="12"/>
  <c r="E6" s="1"/>
  <c r="F6" s="1"/>
  <c r="C9"/>
  <c r="E9" s="1"/>
  <c r="F9" s="1"/>
  <c r="C5"/>
  <c r="E5" s="1"/>
  <c r="F5" s="1"/>
  <c r="C7"/>
  <c r="E7" s="1"/>
  <c r="F7" s="1"/>
  <c r="E10" l="1"/>
  <c r="F10" s="1"/>
</calcChain>
</file>

<file path=xl/sharedStrings.xml><?xml version="1.0" encoding="utf-8"?>
<sst xmlns="http://schemas.openxmlformats.org/spreadsheetml/2006/main" count="126" uniqueCount="61">
  <si>
    <t>G/L - Expense</t>
  </si>
  <si>
    <t>Total</t>
  </si>
  <si>
    <t>Invoice Date</t>
  </si>
  <si>
    <t>Invoice #</t>
  </si>
  <si>
    <t>Constructed Key Field</t>
  </si>
  <si>
    <t>Account</t>
  </si>
  <si>
    <t>Requested by</t>
  </si>
  <si>
    <t>Amount of Check</t>
  </si>
  <si>
    <t>Name of Payee</t>
  </si>
  <si>
    <t>Check Use</t>
  </si>
  <si>
    <t>Method of Distribution</t>
  </si>
  <si>
    <t>File Date</t>
  </si>
  <si>
    <t>Office</t>
  </si>
  <si>
    <t>Store</t>
  </si>
  <si>
    <t>Staffing</t>
  </si>
  <si>
    <t>Equipment</t>
  </si>
  <si>
    <t>Other</t>
  </si>
  <si>
    <t>Blank CDs</t>
  </si>
  <si>
    <t>Credit</t>
  </si>
  <si>
    <t>Replace store window</t>
  </si>
  <si>
    <t>New cash register</t>
  </si>
  <si>
    <t>Cab fare</t>
  </si>
  <si>
    <t>Check</t>
  </si>
  <si>
    <t>New laptop</t>
  </si>
  <si>
    <t>Printer ink</t>
  </si>
  <si>
    <t>Account Number</t>
  </si>
  <si>
    <t>David Daniels</t>
  </si>
  <si>
    <t xml:space="preserve">Consolidated Messenger </t>
  </si>
  <si>
    <t>Marc Faeber</t>
  </si>
  <si>
    <t xml:space="preserve">Fabrikam, Inc. </t>
  </si>
  <si>
    <t xml:space="preserve">A. Datum Corporation </t>
  </si>
  <si>
    <t>Robert O'Hara</t>
  </si>
  <si>
    <t xml:space="preserve">Graphic Design Institute </t>
  </si>
  <si>
    <t>contract designer</t>
  </si>
  <si>
    <t>Robert Walters</t>
  </si>
  <si>
    <t xml:space="preserve">Trey Research </t>
  </si>
  <si>
    <t>Bob Gage</t>
  </si>
  <si>
    <t>YTD Actual</t>
  </si>
  <si>
    <t>YTD Budget</t>
  </si>
  <si>
    <t>Remaining Budget $</t>
  </si>
  <si>
    <t>Remaining Budget %</t>
  </si>
  <si>
    <t>Acme</t>
  </si>
  <si>
    <t>General office</t>
  </si>
  <si>
    <t>Adventure Works</t>
  </si>
  <si>
    <t>contract writer</t>
  </si>
  <si>
    <t>Sandeep Kaliyath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</si>
  <si>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</si>
  <si>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</si>
  <si>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</si>
  <si>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</si>
  <si>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</si>
  <si>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</si>
  <si>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</si>
  <si>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</si>
  <si>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</si>
  <si>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</si>
  <si>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</si>
  <si>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</si>
  <si>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2007 Actual versus Budget YTD</t>
  </si>
  <si>
    <t>2007 Monthly Expenses</t>
  </si>
  <si>
    <t>2007 Total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</si>
</sst>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64" formatCode="0000"/>
    <numFmt numFmtId="165" formatCode="[$-409]mmm\-yy;@"/>
    <numFmt numFmtId="166" formatCode="m/d/yyyy;@"/>
  </numFmts>
  <fonts count="10">
    <font>
      <sz val="10"/>
      <color theme="1"/>
      <name val="Book Antiqua"/>
      <family val="2"/>
      <scheme val="minor"/>
    </font>
    <font>
      <sz val="10"/>
      <color theme="1"/>
      <name val="Arial"/>
    </font>
    <font>
      <sz val="8"/>
      <color theme="1"/>
      <name val="Arial"/>
    </font>
    <font>
      <sz val="10"/>
      <color theme="1"/>
      <name val="Book Antiqua"/>
      <family val="2"/>
      <scheme val="minor"/>
    </font>
    <font>
      <b/>
      <sz val="10"/>
      <color theme="1"/>
      <name val="Book Antiqua"/>
      <family val="2"/>
      <scheme val="minor"/>
    </font>
    <font>
      <b/>
      <sz val="10"/>
      <color theme="0"/>
      <name val="Book Antiqua"/>
      <family val="2"/>
      <scheme val="minor"/>
    </font>
    <font>
      <b/>
      <sz val="12"/>
      <color theme="1"/>
      <name val="Book Antiqua"/>
      <family val="2"/>
      <scheme val="minor"/>
    </font>
    <font>
      <b/>
      <sz val="15"/>
      <color theme="3"/>
      <name val="Book Antiqua"/>
      <family val="2"/>
      <scheme val="minor"/>
    </font>
    <font>
      <sz val="10"/>
      <color theme="0"/>
      <name val="Book Antiqua"/>
      <family val="2"/>
      <scheme val="minor"/>
    </font>
    <font>
      <sz val="10"/>
      <color theme="1"/>
      <name val="Book Antiqua"/>
      <family val="1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theme="5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7" fillId="0" borderId="14" applyNumberFormat="0" applyFill="0" applyAlignment="0" applyProtection="0"/>
  </cellStyleXfs>
  <cellXfs count="94">
    <xf numFmtId="0" fontId="0" fillId="0" borderId="0" xfId="0"/>
    <xf numFmtId="0" fontId="3" fillId="0" borderId="0" xfId="0" applyFont="1" applyBorder="1" applyAlignment="1">
      <alignment wrapText="1"/>
    </xf>
    <xf numFmtId="0" fontId="3" fillId="0" borderId="0" xfId="0" applyFont="1"/>
    <xf numFmtId="10" fontId="3" fillId="0" borderId="0" xfId="0" applyNumberFormat="1" applyFont="1" applyBorder="1"/>
    <xf numFmtId="0" fontId="3" fillId="0" borderId="0" xfId="0" applyFont="1" applyAlignment="1"/>
    <xf numFmtId="0" fontId="3" fillId="0" borderId="0" xfId="0" applyFont="1" applyAlignment="1">
      <alignment wrapText="1"/>
    </xf>
    <xf numFmtId="0" fontId="4" fillId="0" borderId="0" xfId="0" applyFont="1" applyAlignment="1"/>
    <xf numFmtId="165" fontId="3" fillId="0" borderId="0" xfId="0" applyNumberFormat="1" applyFont="1" applyBorder="1" applyAlignment="1">
      <alignment wrapText="1"/>
    </xf>
    <xf numFmtId="0" fontId="6" fillId="0" borderId="0" xfId="0" applyFont="1" applyAlignment="1">
      <alignment horizontal="center"/>
    </xf>
    <xf numFmtId="0" fontId="3" fillId="0" borderId="0" xfId="0" applyFont="1" applyBorder="1"/>
    <xf numFmtId="0" fontId="3" fillId="0" borderId="0" xfId="0" applyFont="1" applyAlignment="1">
      <alignment vertical="center"/>
    </xf>
    <xf numFmtId="0" fontId="6" fillId="0" borderId="0" xfId="0" applyFont="1"/>
    <xf numFmtId="44" fontId="6" fillId="0" borderId="0" xfId="1" applyFont="1"/>
    <xf numFmtId="0" fontId="6" fillId="0" borderId="0" xfId="0" applyFont="1" applyBorder="1"/>
    <xf numFmtId="0" fontId="6" fillId="0" borderId="0" xfId="0" applyFont="1" applyAlignment="1">
      <alignment vertical="center"/>
    </xf>
    <xf numFmtId="0" fontId="4" fillId="0" borderId="0" xfId="0" applyFont="1"/>
    <xf numFmtId="0" fontId="0" fillId="0" borderId="0" xfId="0"/>
    <xf numFmtId="0" fontId="5" fillId="2" borderId="4" xfId="0" applyFont="1" applyFill="1" applyBorder="1" applyAlignment="1">
      <alignment textRotation="45"/>
    </xf>
    <xf numFmtId="0" fontId="5" fillId="2" borderId="5" xfId="0" applyFont="1" applyFill="1" applyBorder="1" applyAlignment="1">
      <alignment textRotation="45"/>
    </xf>
    <xf numFmtId="0" fontId="5" fillId="2" borderId="5" xfId="0" applyFont="1" applyFill="1" applyBorder="1" applyAlignment="1">
      <alignment horizontal="left" textRotation="45"/>
    </xf>
    <xf numFmtId="0" fontId="5" fillId="2" borderId="5" xfId="0" applyFont="1" applyFill="1" applyBorder="1" applyAlignment="1">
      <alignment textRotation="45" wrapText="1"/>
    </xf>
    <xf numFmtId="44" fontId="5" fillId="2" borderId="8" xfId="1" applyFont="1" applyFill="1" applyBorder="1" applyAlignment="1">
      <alignment textRotation="45"/>
    </xf>
    <xf numFmtId="0" fontId="5" fillId="2" borderId="4" xfId="0" applyFont="1" applyFill="1" applyBorder="1" applyAlignment="1">
      <alignment textRotation="45" wrapText="1"/>
    </xf>
    <xf numFmtId="44" fontId="5" fillId="2" borderId="5" xfId="1" applyFont="1" applyFill="1" applyBorder="1" applyAlignment="1">
      <alignment textRotation="45"/>
    </xf>
    <xf numFmtId="0" fontId="5" fillId="2" borderId="6" xfId="0" applyFont="1" applyFill="1" applyBorder="1" applyAlignment="1">
      <alignment vertical="top" textRotation="45"/>
    </xf>
    <xf numFmtId="0" fontId="8" fillId="0" borderId="15" xfId="0" applyFont="1" applyFill="1" applyBorder="1" applyAlignment="1">
      <alignment wrapText="1"/>
    </xf>
    <xf numFmtId="0" fontId="0" fillId="0" borderId="0" xfId="0" applyFont="1" applyFill="1" applyBorder="1"/>
    <xf numFmtId="0" fontId="0" fillId="0" borderId="0" xfId="0" applyFont="1" applyFill="1" applyBorder="1" applyAlignment="1">
      <alignment wrapText="1"/>
    </xf>
    <xf numFmtId="44" fontId="0" fillId="0" borderId="0" xfId="0" applyNumberFormat="1" applyFont="1" applyFill="1" applyBorder="1"/>
    <xf numFmtId="10" fontId="0" fillId="0" borderId="0" xfId="0" applyNumberFormat="1" applyFont="1" applyFill="1" applyBorder="1"/>
    <xf numFmtId="165" fontId="0" fillId="0" borderId="0" xfId="0" applyNumberFormat="1" applyBorder="1" applyAlignment="1">
      <alignment wrapText="1"/>
    </xf>
    <xf numFmtId="14" fontId="3" fillId="0" borderId="1" xfId="0" applyNumberFormat="1" applyFont="1" applyFill="1" applyBorder="1" applyAlignment="1">
      <alignment vertical="center" wrapText="1"/>
    </xf>
    <xf numFmtId="164" fontId="3" fillId="0" borderId="2" xfId="0" applyNumberFormat="1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44" fontId="4" fillId="0" borderId="1" xfId="1" applyFont="1" applyFill="1" applyBorder="1" applyAlignment="1">
      <alignment vertical="center" wrapText="1"/>
    </xf>
    <xf numFmtId="164" fontId="3" fillId="0" borderId="2" xfId="0" applyNumberFormat="1" applyFont="1" applyFill="1" applyBorder="1" applyAlignment="1">
      <alignment vertical="center"/>
    </xf>
    <xf numFmtId="166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44" fontId="4" fillId="0" borderId="1" xfId="1" applyFont="1" applyFill="1" applyBorder="1" applyAlignment="1">
      <alignment vertical="center"/>
    </xf>
    <xf numFmtId="14" fontId="3" fillId="0" borderId="1" xfId="0" applyNumberFormat="1" applyFont="1" applyFill="1" applyBorder="1" applyAlignment="1">
      <alignment vertical="center"/>
    </xf>
    <xf numFmtId="164" fontId="3" fillId="0" borderId="10" xfId="0" applyNumberFormat="1" applyFont="1" applyFill="1" applyBorder="1" applyAlignment="1">
      <alignment vertical="center"/>
    </xf>
    <xf numFmtId="14" fontId="3" fillId="0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44" fontId="4" fillId="0" borderId="0" xfId="1" applyFont="1" applyFill="1" applyBorder="1" applyAlignment="1">
      <alignment vertical="center"/>
    </xf>
    <xf numFmtId="14" fontId="3" fillId="0" borderId="7" xfId="0" applyNumberFormat="1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164" fontId="3" fillId="0" borderId="13" xfId="0" applyNumberFormat="1" applyFont="1" applyFill="1" applyBorder="1" applyAlignment="1">
      <alignment vertical="center"/>
    </xf>
    <xf numFmtId="166" fontId="3" fillId="0" borderId="12" xfId="0" applyNumberFormat="1" applyFont="1" applyFill="1" applyBorder="1" applyAlignment="1">
      <alignment vertical="center"/>
    </xf>
    <xf numFmtId="0" fontId="3" fillId="0" borderId="12" xfId="0" applyFont="1" applyFill="1" applyBorder="1" applyAlignment="1">
      <alignment vertical="center"/>
    </xf>
    <xf numFmtId="0" fontId="3" fillId="0" borderId="11" xfId="0" applyFont="1" applyFill="1" applyBorder="1" applyAlignment="1">
      <alignment vertical="center" wrapText="1"/>
    </xf>
    <xf numFmtId="44" fontId="4" fillId="0" borderId="12" xfId="1" applyFont="1" applyFill="1" applyBorder="1" applyAlignment="1">
      <alignment vertical="center"/>
    </xf>
    <xf numFmtId="0" fontId="3" fillId="0" borderId="13" xfId="0" applyFont="1" applyFill="1" applyBorder="1" applyAlignment="1">
      <alignment vertical="center" wrapText="1"/>
    </xf>
    <xf numFmtId="0" fontId="3" fillId="0" borderId="12" xfId="0" applyFont="1" applyFill="1" applyBorder="1" applyAlignment="1">
      <alignment vertical="center" wrapText="1"/>
    </xf>
    <xf numFmtId="14" fontId="3" fillId="0" borderId="12" xfId="0" applyNumberFormat="1" applyFont="1" applyFill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1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2" xfId="0" applyFont="1" applyFill="1" applyBorder="1" applyAlignment="1">
      <alignment horizontal="left" vertical="center"/>
    </xf>
    <xf numFmtId="0" fontId="9" fillId="0" borderId="0" xfId="0" applyFont="1"/>
    <xf numFmtId="44" fontId="9" fillId="0" borderId="0" xfId="0" applyNumberFormat="1" applyFont="1" applyBorder="1"/>
    <xf numFmtId="0" fontId="3" fillId="0" borderId="0" xfId="0" applyFont="1" applyBorder="1" applyAlignment="1">
      <alignment vertical="center" wrapText="1"/>
    </xf>
    <xf numFmtId="44" fontId="3" fillId="0" borderId="0" xfId="0" applyNumberFormat="1" applyFont="1" applyBorder="1" applyAlignment="1">
      <alignment vertical="center"/>
    </xf>
    <xf numFmtId="0" fontId="3" fillId="0" borderId="3" xfId="0" applyNumberFormat="1" applyFont="1" applyFill="1" applyBorder="1" applyAlignment="1">
      <alignment vertical="center"/>
    </xf>
    <xf numFmtId="0" fontId="3" fillId="0" borderId="1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2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horizontal="left" vertical="center"/>
    </xf>
    <xf numFmtId="0" fontId="0" fillId="0" borderId="15" xfId="0" applyFont="1" applyFill="1" applyBorder="1" applyAlignment="1">
      <alignment vertical="center"/>
    </xf>
    <xf numFmtId="0" fontId="0" fillId="0" borderId="15" xfId="0" applyFont="1" applyFill="1" applyBorder="1" applyAlignment="1">
      <alignment vertical="center" wrapText="1"/>
    </xf>
    <xf numFmtId="44" fontId="0" fillId="0" borderId="15" xfId="0" applyNumberFormat="1" applyFont="1" applyFill="1" applyBorder="1" applyAlignment="1">
      <alignment vertical="center"/>
    </xf>
    <xf numFmtId="10" fontId="0" fillId="0" borderId="15" xfId="0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44" fontId="0" fillId="0" borderId="0" xfId="0" applyNumberFormat="1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0" fontId="7" fillId="0" borderId="14" xfId="2"/>
    <xf numFmtId="0" fontId="0" fillId="0" borderId="0" xfId="0" applyBorder="1" applyAlignment="1">
      <alignment wrapText="1"/>
    </xf>
    <xf numFmtId="0" fontId="3" fillId="0" borderId="7" xfId="0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9" xfId="0" applyFont="1" applyBorder="1" applyAlignment="1">
      <alignment vertical="center" wrapText="1"/>
    </xf>
    <xf numFmtId="44" fontId="4" fillId="0" borderId="8" xfId="0" applyNumberFormat="1" applyFont="1" applyFill="1" applyBorder="1" applyAlignment="1">
      <alignment vertical="center"/>
    </xf>
    <xf numFmtId="0" fontId="3" fillId="0" borderId="7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3" fillId="0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horizontal="left" vertical="center"/>
    </xf>
  </cellXfs>
  <cellStyles count="3">
    <cellStyle name="Currency" xfId="1" builtinId="4"/>
    <cellStyle name="Heading 1" xfId="2" builtinId="16" customBuiltin="1"/>
    <cellStyle name="Normal" xfId="0" builtinId="0" customBuiltin="1"/>
  </cellStyles>
  <dxfs count="165">
    <dxf>
      <font>
        <u val="none"/>
        <vertAlign val="baseline"/>
        <sz val="10"/>
        <color theme="1"/>
        <name val="Book Antiqua"/>
        <scheme val="minor"/>
      </font>
      <fill>
        <patternFill patternType="solid">
          <fgColor indexed="64"/>
          <bgColor indexed="30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164" formatCode="00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numFmt numFmtId="164" formatCode="00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alignment vertical="center" textRotation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fill>
        <patternFill patternType="solid">
          <fgColor indexed="64"/>
          <bgColor indexed="30"/>
        </patternFill>
      </fill>
      <alignment horizontal="general" vertical="center" textRotation="0" wrapText="0" indent="0" relativeIndent="255" justifyLastLine="0" shrinkToFit="0" mergeCell="0" readingOrder="0"/>
    </dxf>
    <dxf>
      <font>
        <b/>
        <u val="none"/>
        <vertAlign val="baseline"/>
        <sz val="10"/>
        <color theme="0"/>
        <name val="Book Antiqua"/>
        <scheme val="minor"/>
      </font>
      <fill>
        <patternFill patternType="solid">
          <fgColor indexed="64"/>
          <bgColor theme="5" tint="0.39994506668294322"/>
        </patternFill>
      </fill>
      <alignment horizontal="general" vertical="bottom" textRotation="45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u val="none"/>
        <vertAlign val="baseline"/>
        <sz val="10"/>
        <color theme="1"/>
        <name val="Book Antiqua"/>
        <scheme val="minor"/>
      </font>
      <alignment vertical="center" textRotation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alignment horizontal="general" vertical="center" textRotation="0" indent="0" relativeIndent="255" justifyLastLine="0" shrinkToFit="0" mergeCell="0" readingOrder="0"/>
    </dxf>
    <dxf>
      <font>
        <u val="none"/>
        <vertAlign val="baseline"/>
        <sz val="10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indent="0" relativeIndent="255" justifyLastLine="0" shrinkToFit="0" mergeCell="0" readingOrder="0"/>
    </dxf>
    <dxf>
      <font>
        <u val="none"/>
        <vertAlign val="baseline"/>
        <sz val="10"/>
        <name val="Book Antiqua"/>
        <scheme val="minor"/>
      </font>
      <alignment horizontal="general" vertical="center" textRotation="0" indent="0" relativeIndent="255" justifyLastLine="0" shrinkToFit="0" mergeCell="0" readingOrder="0"/>
    </dxf>
    <dxf>
      <font>
        <u val="none"/>
        <vertAlign val="baseline"/>
        <sz val="10"/>
        <name val="Book Antiqua"/>
        <scheme val="minor"/>
      </font>
      <fill>
        <patternFill patternType="solid">
          <fgColor indexed="64"/>
          <bgColor indexed="30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name val="Book Antiqua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u val="none"/>
        <vertAlign val="baseline"/>
        <sz val="10"/>
        <color theme="1"/>
        <name val="Book Antiqua"/>
        <scheme val="minor"/>
      </font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numFmt numFmtId="164" formatCode="00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bottom style="thin">
          <color indexed="64"/>
        </bottom>
      </border>
    </dxf>
    <dxf>
      <font>
        <b/>
        <u val="none"/>
        <vertAlign val="baseline"/>
        <sz val="10"/>
        <color theme="0"/>
        <name val="Book Antiqua"/>
        <scheme val="minor"/>
      </font>
      <fill>
        <patternFill patternType="solid">
          <fgColor indexed="64"/>
          <bgColor theme="5" tint="0.39994506668294322"/>
        </patternFill>
      </fill>
      <alignment horizontal="general" vertical="bottom" textRotation="45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u val="none"/>
        <vertAlign val="baseline"/>
        <sz val="10"/>
        <color theme="1"/>
        <name val="Book Antiqua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b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numFmt numFmtId="164" formatCode="00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solid">
          <fgColor indexed="64"/>
          <bgColor indexed="30"/>
        </patternFill>
      </fill>
      <alignment horizontal="general" vertical="center" textRotation="0" wrapText="0" indent="0" relativeIndent="255" justifyLastLine="0" shrinkToFit="0" mergeCell="0" readingOrder="0"/>
    </dxf>
    <dxf>
      <border diagonalUp="0" diagonalDown="0">
        <bottom style="thin">
          <color indexed="64"/>
        </bottom>
      </border>
    </dxf>
    <dxf>
      <font>
        <b/>
        <u val="none"/>
        <vertAlign val="baseline"/>
        <sz val="10"/>
        <color theme="0"/>
        <name val="Book Antiqua"/>
        <scheme val="minor"/>
      </font>
      <fill>
        <patternFill patternType="solid">
          <fgColor indexed="64"/>
          <bgColor theme="5" tint="0.39994506668294322"/>
        </patternFill>
      </fill>
      <alignment horizontal="general" vertical="bottom" textRotation="45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u val="none"/>
        <vertAlign val="baseline"/>
        <sz val="10"/>
        <name val="Book Antiqua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color theme="1"/>
        <name val="Book Antiqua"/>
        <scheme val="minor"/>
      </font>
      <numFmt numFmtId="164" formatCode="00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u val="none"/>
        <vertAlign val="baseline"/>
        <sz val="10"/>
        <name val="Book Antiqua"/>
        <scheme val="minor"/>
      </font>
      <fill>
        <patternFill patternType="solid">
          <fgColor indexed="64"/>
          <bgColor indexed="30"/>
        </patternFill>
      </fill>
      <alignment horizontal="general" vertical="center" textRotation="0" wrapText="0" indent="0" relativeIndent="255" justifyLastLine="0" shrinkToFit="0" mergeCell="0" readingOrder="0"/>
    </dxf>
    <dxf>
      <border diagonalUp="0" diagonalDown="0">
        <bottom style="thin">
          <color indexed="64"/>
        </bottom>
      </border>
    </dxf>
    <dxf>
      <font>
        <b/>
        <u val="none"/>
        <vertAlign val="baseline"/>
        <sz val="10"/>
        <color theme="0"/>
        <name val="Book Antiqua"/>
        <scheme val="minor"/>
      </font>
      <fill>
        <patternFill patternType="solid">
          <fgColor indexed="64"/>
          <bgColor theme="5" tint="0.39994506668294322"/>
        </patternFill>
      </fill>
      <alignment horizontal="general" vertical="bottom" textRotation="45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bottom style="thin">
          <color indexed="64"/>
        </bottom>
      </border>
    </dxf>
    <dxf>
      <font>
        <b/>
        <u val="none"/>
        <vertAlign val="baseline"/>
        <sz val="10"/>
        <color theme="0"/>
        <name val="Book Antiqua"/>
        <scheme val="minor"/>
      </font>
      <fill>
        <patternFill patternType="solid">
          <fgColor indexed="64"/>
          <bgColor theme="5" tint="0.39994506668294322"/>
        </patternFill>
      </fill>
      <alignment horizontal="general" vertical="bottom" textRotation="45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u val="none"/>
        <vertAlign val="baseline"/>
        <sz val="10"/>
        <color theme="1"/>
        <name val="Book Antiqua"/>
        <scheme val="minor"/>
      </font>
      <numFmt numFmtId="167" formatCode="\$#,##0.00"/>
      <alignment horizontal="general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alignment horizontal="general" vertical="center" textRotation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alignment horizontal="general" vertical="center" textRotation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alignment textRotation="0" indent="0" relativeIndent="255" justifyLastLine="0" shrinkToFit="0" readingOrder="0"/>
    </dxf>
    <dxf>
      <font>
        <u val="none"/>
        <vertAlign val="baseline"/>
        <sz val="10"/>
        <color theme="1"/>
        <name val="Book Antiqua"/>
        <scheme val="minor"/>
      </font>
      <alignment horizontal="general" vertical="center" textRotation="0" indent="0" relativeIndent="255" justifyLastLine="0" shrinkToFit="0" mergeCell="0" readingOrder="0"/>
    </dxf>
    <dxf>
      <font>
        <u val="none"/>
        <vertAlign val="baseline"/>
        <sz val="10"/>
        <color theme="1"/>
        <name val="Book Antiqua"/>
        <scheme val="minor"/>
      </font>
      <alignment horizontal="general" vertical="bottom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indent="0" relativeIndent="255" justifyLastLine="0" shrinkToFit="0" mergeCell="0" readingOrder="0"/>
      <border diagonalUp="0" diagonalDown="0" outline="0">
        <left/>
        <right/>
        <top/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center" textRotation="0" indent="0" relativeIndent="255" justifyLastLine="0" shrinkToFit="0" mergeCell="0" readingOrder="0"/>
      <border diagonalUp="0" diagonalDown="0" outline="0">
        <left/>
        <right/>
        <top/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center" textRotation="0" indent="0" relativeIndent="255" justifyLastLine="0" shrinkToFit="0" mergeCell="0" readingOrder="0"/>
      <border diagonalUp="0" diagonalDown="0" outline="0">
        <left/>
        <right/>
        <top/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center" textRotation="0" indent="0" relativeIndent="255" justifyLastLine="0" shrinkToFit="0" mergeCell="0" readingOrder="0"/>
      <border diagonalUp="0" diagonalDown="0" outline="0">
        <left/>
        <right/>
        <top/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  <border diagonalUp="0" diagonalDown="0" outline="0">
        <left/>
        <right/>
        <top/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indent="0" relativeIndent="255" justifyLastLine="0" shrinkToFit="0" mergeCell="0" readingOrder="0"/>
      <border diagonalUp="0" diagonalDown="0" outline="0">
        <left/>
        <right/>
        <top/>
        <bottom style="thin">
          <color theme="5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name val="Book Antiqua"/>
        <scheme val="minor"/>
      </font>
      <fill>
        <patternFill patternType="none">
          <fgColor indexed="64"/>
          <bgColor auto="1"/>
        </patternFill>
      </fill>
    </dxf>
    <dxf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double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indent="0" relativeIndent="255" justifyLastLine="0" shrinkToFit="0" mergeCell="0" readingOrder="0"/>
    </dxf>
    <dxf>
      <border outline="0"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Book Antiqua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relativeIndent="0" justifyLastLine="0" shrinkToFit="0" mergeCell="0" readingOrder="0"/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Budget" displayName="Budget" ref="A4:F10" totalsRowCount="1" headerRowDxfId="164" dataDxfId="162" totalsRowDxfId="160" headerRowBorderDxfId="163" tableBorderDxfId="161">
  <autoFilter ref="A4:F9"/>
  <tableColumns count="6">
    <tableColumn id="1" name="Account Number" totalsRowLabel="Total" dataDxfId="159" totalsRowDxfId="158"/>
    <tableColumn id="2" name="Account" dataDxfId="157" totalsRowDxfId="156"/>
    <tableColumn id="3" name="YTD Actual" dataDxfId="155" totalsRowDxfId="154">
      <calculatedColumnFormula>'Monthly Expenses'!O5</calculatedColumnFormula>
    </tableColumn>
    <tableColumn id="4" name="YTD Budget" totalsRowFunction="sum" dataDxfId="153" totalsRowDxfId="152"/>
    <tableColumn id="5" name="Remaining Budget $" totalsRowFunction="sum" dataDxfId="151" totalsRowDxfId="150">
      <calculatedColumnFormula>SUM(Budget[[#This Row],[YTD Budget]]-Budget[[#This Row],[YTD Actual]])</calculatedColumnFormula>
    </tableColumn>
    <tableColumn id="6" name="Remaining Budget %" totalsRowFunction="custom" dataDxfId="149" totalsRowDxfId="148">
      <calculatedColumnFormula>SUM(Budget[[#This Row],[Remaining Budget $]]/Budget[[#This Row],[YTD Budget]])</calculatedColumnFormula>
      <totalsRowFormula>SUM(Budget[[#Totals],[Remaining Budget $]]/Budget[[#Totals],[YTD Budget]])</totalsRow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Expenses" displayName="Expenses" ref="A4:O10" totalsRowCount="1" headerRowDxfId="147" dataDxfId="146" totalsRowDxfId="145">
  <autoFilter ref="A4:O9"/>
  <tableColumns count="15">
    <tableColumn id="1" name="Account Number" totalsRowLabel="Total" dataDxfId="144" totalsRowDxfId="95"/>
    <tableColumn id="2" name="Account" dataDxfId="143" totalsRowDxfId="94"/>
    <tableColumn id="3" name="Jan-07" totalsRowFunction="sum" dataDxfId="142" totalsRowDxfId="93">
      <calculatedColumnFormula>SUMIF(Office[Constructed Key Field],"="&amp;(TEXT(Expenses[[#Headers],[Jan-07]],"mmm-yy")),Office[Amount of Check])</calculatedColumnFormula>
    </tableColumn>
    <tableColumn id="4" name="Feb-07" totalsRowFunction="sum" dataDxfId="141" totalsRowDxfId="92"/>
    <tableColumn id="5" name="Mar-07" totalsRowFunction="sum" dataDxfId="140" totalsRowDxfId="91"/>
    <tableColumn id="6" name="Apr-07" totalsRowFunction="sum" dataDxfId="139" totalsRowDxfId="90"/>
    <tableColumn id="7" name="May-07" totalsRowFunction="sum" dataDxfId="138" totalsRowDxfId="89"/>
    <tableColumn id="8" name="Jun-07" totalsRowFunction="sum" dataDxfId="137" totalsRowDxfId="88"/>
    <tableColumn id="9" name="Jul-07" totalsRowFunction="sum" dataDxfId="136" totalsRowDxfId="87"/>
    <tableColumn id="10" name="Aug-07" totalsRowFunction="sum" dataDxfId="135" totalsRowDxfId="86"/>
    <tableColumn id="11" name="Sep-07" totalsRowFunction="sum" dataDxfId="134" totalsRowDxfId="85"/>
    <tableColumn id="12" name="Oct-07" totalsRowFunction="sum" dataDxfId="133" totalsRowDxfId="84"/>
    <tableColumn id="13" name="Nov-07" totalsRowFunction="sum" dataDxfId="132" totalsRowDxfId="83"/>
    <tableColumn id="14" name="Dec-07" totalsRowFunction="sum" dataDxfId="131" totalsRowDxfId="82"/>
    <tableColumn id="15" name="2007 Total" totalsRowFunction="sum" dataDxfId="130" totalsRowDxfId="81">
      <calculatedColumnFormula>SUM([Jan-07]+[Feb-07]+[Mar-07]+[Apr-07]+[May-07]+[Jun-07]+[Jul-07]+[Aug-07]+[Sep-07]+[Oct-07]+[Nov-07]+[Dec-07])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Office" displayName="Office" ref="A1:J6" totalsRowCount="1" headerRowDxfId="129" dataDxfId="70" totalsRowDxfId="69" headerRowBorderDxfId="128" tableBorderDxfId="127">
  <autoFilter ref="A1:J5"/>
  <tableColumns count="10">
    <tableColumn id="1" name="G/L - Expense" totalsRowLabel="Total" dataDxfId="80" totalsRowDxfId="35"/>
    <tableColumn id="2" name="Invoice Date" dataDxfId="79" totalsRowDxfId="34"/>
    <tableColumn id="3" name="Invoice #" dataDxfId="78" totalsRowDxfId="33"/>
    <tableColumn id="4" name="Requested by" dataDxfId="77" totalsRowDxfId="32"/>
    <tableColumn id="5" name="Amount of Check" totalsRowFunction="sum" dataDxfId="76" totalsRowDxfId="31" dataCellStyle="Currency"/>
    <tableColumn id="6" name="Name of Payee" dataDxfId="75" totalsRowDxfId="30"/>
    <tableColumn id="7" name="Check Use" dataDxfId="74" totalsRowDxfId="29"/>
    <tableColumn id="8" name="Method of Distribution" dataDxfId="73" totalsRowDxfId="28"/>
    <tableColumn id="9" name="File Date" dataDxfId="72" totalsRowDxfId="27"/>
    <tableColumn id="10" name="Constructed Key Field" dataDxfId="71" totalsRowDxfId="26">
      <calculatedColumnFormula>TEXT([Invoice Date],"mmm-yy")</calculatedColumnFormula>
    </tableColumn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4" name="Store" displayName="Store" ref="A1:J5" totalsRowCount="1" headerRowDxfId="126" dataDxfId="124" totalsRowDxfId="68" headerRowBorderDxfId="125" tableBorderDxfId="123">
  <autoFilter ref="A1:J4"/>
  <tableColumns count="10">
    <tableColumn id="1" name="G/L - Expense" totalsRowLabel="Total" dataDxfId="122" totalsRowDxfId="45"/>
    <tableColumn id="2" name="Invoice Date" dataDxfId="121" totalsRowDxfId="44"/>
    <tableColumn id="3" name="Invoice #" dataDxfId="120" totalsRowDxfId="43"/>
    <tableColumn id="4" name="Requested by" dataDxfId="119" totalsRowDxfId="42"/>
    <tableColumn id="5" name="Amount of Check" totalsRowFunction="sum" dataDxfId="118" totalsRowDxfId="41" dataCellStyle="Currency"/>
    <tableColumn id="6" name="Name of Payee" dataDxfId="117" totalsRowDxfId="40"/>
    <tableColumn id="7" name="Check Use" dataDxfId="116" totalsRowDxfId="39"/>
    <tableColumn id="8" name="Method of Distribution" dataDxfId="115" totalsRowDxfId="38"/>
    <tableColumn id="9" name="File Date" dataDxfId="114" totalsRowDxfId="37"/>
    <tableColumn id="10" name="Constructed Key Field" dataDxfId="113" totalsRowDxfId="36">
      <calculatedColumnFormula>TEXT([Invoice Date],"mmm-yy")</calculatedColumnFormula>
    </tableColumn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5" name="Staffing" displayName="Staffing" ref="A1:J5" totalsRowCount="1" headerRowDxfId="112" dataDxfId="110" totalsRowDxfId="67" headerRowBorderDxfId="111" tableBorderDxfId="109">
  <autoFilter ref="A1:J4"/>
  <tableColumns count="10">
    <tableColumn id="1" name="G/L - Expense" totalsRowLabel="Total" dataDxfId="108" totalsRowDxfId="55"/>
    <tableColumn id="2" name="Invoice Date" dataDxfId="107" totalsRowDxfId="54"/>
    <tableColumn id="3" name="Invoice #" dataDxfId="106" totalsRowDxfId="53"/>
    <tableColumn id="4" name="Requested by" dataDxfId="105" totalsRowDxfId="52"/>
    <tableColumn id="5" name="Amount of Check" totalsRowFunction="sum" dataDxfId="104" totalsRowDxfId="51" dataCellStyle="Currency"/>
    <tableColumn id="6" name="Name of Payee" dataDxfId="103" totalsRowDxfId="50"/>
    <tableColumn id="7" name="Check Use" dataDxfId="102" totalsRowDxfId="49"/>
    <tableColumn id="8" name="Method of Distribution" dataDxfId="101" totalsRowDxfId="48"/>
    <tableColumn id="9" name="File Date" dataDxfId="100" totalsRowDxfId="47"/>
    <tableColumn id="10" name="Constructed Key Field" dataDxfId="99" totalsRowDxfId="46">
      <calculatedColumnFormula>TEXT([Invoice Date],"mmm-yy")</calculatedColumnFormula>
    </tableColumn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6" name="Equipment" displayName="Equipment" ref="A1:J4" totalsRowCount="1" headerRowDxfId="25" dataDxfId="24" totalsRowDxfId="23" headerRowBorderDxfId="21" tableBorderDxfId="22">
  <autoFilter ref="A1:J3"/>
  <tableColumns count="10">
    <tableColumn id="1" name="G/L - Expense" totalsRowLabel="Total" dataDxfId="20"/>
    <tableColumn id="2" name="Invoice Date" dataDxfId="19"/>
    <tableColumn id="3" name="Invoice #" dataDxfId="18"/>
    <tableColumn id="4" name="Requested by" dataDxfId="17"/>
    <tableColumn id="5" name="Amount of Check" totalsRowFunction="sum" dataDxfId="16" dataCellStyle="Currency"/>
    <tableColumn id="6" name="Name of Payee" dataDxfId="15"/>
    <tableColumn id="7" name="Check Use" dataDxfId="14"/>
    <tableColumn id="8" name="Method of Distribution" dataDxfId="13"/>
    <tableColumn id="9" name="File Date" dataDxfId="12"/>
    <tableColumn id="10" name="Constructed Key Field" dataDxfId="11">
      <calculatedColumnFormula>TEXT([Invoice Date],"mmm-yy")</calculatedColumnFormula>
    </tableColumn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7" name="Other" displayName="Other" ref="A1:J4" totalsRowCount="1" headerRowDxfId="98" dataDxfId="0" totalsRowDxfId="66" headerRowBorderDxfId="97" tableBorderDxfId="96">
  <autoFilter ref="A1:J3"/>
  <tableColumns count="10">
    <tableColumn id="1" name="G/L - Expense" totalsRowLabel="Total" dataDxfId="10" totalsRowDxfId="65"/>
    <tableColumn id="2" name="Invoice Date" dataDxfId="9" totalsRowDxfId="64"/>
    <tableColumn id="3" name="Invoice #" dataDxfId="8" totalsRowDxfId="63"/>
    <tableColumn id="4" name="Requested by" dataDxfId="7" totalsRowDxfId="62"/>
    <tableColumn id="5" name="Amount of Check" totalsRowFunction="sum" dataDxfId="6" totalsRowDxfId="61" dataCellStyle="Currency"/>
    <tableColumn id="6" name="Name of Payee" dataDxfId="5" totalsRowDxfId="60"/>
    <tableColumn id="7" name="Check Use" dataDxfId="4" totalsRowDxfId="59"/>
    <tableColumn id="8" name="Method of Distribution" dataDxfId="3" totalsRowDxfId="58"/>
    <tableColumn id="9" name="File Date" dataDxfId="2" totalsRowDxfId="57"/>
    <tableColumn id="10" name="Constructed Key Field" dataDxfId="1" totalsRowDxfId="56">
      <calculatedColumnFormula>TEXT([Invoice Date],"mmm-yy")</calculatedColumnFormula>
    </tableColumn>
  </tableColumns>
  <tableStyleInfo name="TableStyleLight17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pex">
  <a:themeElements>
    <a:clrScheme name="Apex">
      <a:dk1>
        <a:sysClr val="windowText" lastClr="000000"/>
      </a:dk1>
      <a:lt1>
        <a:sysClr val="window" lastClr="FFFFFF"/>
      </a:lt1>
      <a:dk2>
        <a:srgbClr val="69676D"/>
      </a:dk2>
      <a:lt2>
        <a:srgbClr val="C9C2D1"/>
      </a:lt2>
      <a:accent1>
        <a:srgbClr val="CEB966"/>
      </a:accent1>
      <a:accent2>
        <a:srgbClr val="9CB084"/>
      </a:accent2>
      <a:accent3>
        <a:srgbClr val="6BB1C9"/>
      </a:accent3>
      <a:accent4>
        <a:srgbClr val="6585CF"/>
      </a:accent4>
      <a:accent5>
        <a:srgbClr val="7E6BC9"/>
      </a:accent5>
      <a:accent6>
        <a:srgbClr val="A379BB"/>
      </a:accent6>
      <a:hlink>
        <a:srgbClr val="410082"/>
      </a:hlink>
      <a:folHlink>
        <a:srgbClr val="932968"/>
      </a:folHlink>
    </a:clrScheme>
    <a:fontScheme name="Apex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黑体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Apex">
      <a:fillStyleLst>
        <a:solidFill>
          <a:schemeClr val="phClr"/>
        </a:solidFill>
        <a:gradFill rotWithShape="1">
          <a:gsLst>
            <a:gs pos="20000">
              <a:schemeClr val="phClr">
                <a:tint val="9000"/>
              </a:schemeClr>
            </a:gs>
            <a:gs pos="100000">
              <a:schemeClr val="phClr">
                <a:tint val="70000"/>
                <a:satMod val="100000"/>
              </a:schemeClr>
            </a:gs>
          </a:gsLst>
          <a:path path="circle">
            <a:fillToRect l="-15000" t="-15000" r="115000" b="115000"/>
          </a:path>
        </a:gradFill>
        <a:gradFill rotWithShape="1">
          <a:gsLst>
            <a:gs pos="0">
              <a:schemeClr val="phClr">
                <a:shade val="60000"/>
              </a:schemeClr>
            </a:gs>
            <a:gs pos="33000">
              <a:schemeClr val="phClr">
                <a:tint val="86500"/>
              </a:schemeClr>
            </a:gs>
            <a:gs pos="46750">
              <a:schemeClr val="phClr">
                <a:tint val="71000"/>
                <a:satMod val="112000"/>
              </a:schemeClr>
            </a:gs>
            <a:gs pos="53000">
              <a:schemeClr val="phClr">
                <a:tint val="71000"/>
                <a:satMod val="112000"/>
              </a:schemeClr>
            </a:gs>
            <a:gs pos="68000">
              <a:schemeClr val="phClr">
                <a:tint val="86000"/>
              </a:schemeClr>
            </a:gs>
            <a:gs pos="100000">
              <a:schemeClr val="phClr">
                <a:shade val="60000"/>
              </a:schemeClr>
            </a:gs>
          </a:gsLst>
          <a:lin ang="8350000" scaled="1"/>
        </a:gradFill>
      </a:fillStyleLst>
      <a:lnStyleLst>
        <a:ln w="9525" cap="flat" cmpd="sng" algn="ctr">
          <a:solidFill>
            <a:schemeClr val="phClr">
              <a:shade val="48000"/>
              <a:satMod val="11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130000" dist="101600" dir="2700000" algn="tl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190500" dist="228600" dir="2700000" sy="90000" rotWithShape="0">
              <a:srgbClr val="000000">
                <a:alpha val="25500"/>
              </a:srgbClr>
            </a:outerShdw>
          </a:effectLst>
        </a:effectStyle>
        <a:effectStyle>
          <a:effectLst>
            <a:outerShdw blurRad="190500" dist="228600" dir="2700000" sy="90000" rotWithShape="0">
              <a:srgbClr val="000000">
                <a:alpha val="25500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100000"/>
            </a:lightRig>
          </a:scene3d>
          <a:sp3d>
            <a:bevelT w="508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180000"/>
              </a:schemeClr>
            </a:gs>
            <a:gs pos="100000">
              <a:schemeClr val="phClr">
                <a:shade val="45000"/>
                <a:satMod val="120000"/>
              </a:schemeClr>
            </a:gs>
          </a:gsLst>
          <a:path path="circle">
            <a:fillToRect r="10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"/>
                <a:satMod val="110000"/>
              </a:schemeClr>
              <a:schemeClr val="phClr">
                <a:tint val="60000"/>
                <a:satMod val="425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F22"/>
  <sheetViews>
    <sheetView showGridLines="0" tabSelected="1" view="pageLayout" workbookViewId="0"/>
  </sheetViews>
  <sheetFormatPr defaultColWidth="9.140625" defaultRowHeight="15" customHeight="1"/>
  <cols>
    <col min="1" max="6" width="21.42578125" style="2" customWidth="1"/>
    <col min="7" max="16384" width="9.140625" style="2"/>
  </cols>
  <sheetData>
    <row r="1" spans="1:6" ht="13.5">
      <c r="A1" s="16"/>
    </row>
    <row r="2" spans="1:6" ht="20.25" thickBot="1">
      <c r="A2" s="81" t="s">
        <v>58</v>
      </c>
      <c r="B2" s="81"/>
      <c r="C2" s="81"/>
      <c r="D2" s="81"/>
      <c r="E2" s="81"/>
      <c r="F2" s="81"/>
    </row>
    <row r="3" spans="1:6" ht="17.25" thickTop="1">
      <c r="A3" s="8"/>
      <c r="B3" s="8"/>
      <c r="C3" s="8"/>
      <c r="D3" s="8"/>
      <c r="E3" s="8"/>
      <c r="F3" s="8"/>
    </row>
    <row r="4" spans="1:6" ht="19.5" customHeight="1">
      <c r="A4" s="25" t="s">
        <v>25</v>
      </c>
      <c r="B4" s="25" t="s">
        <v>5</v>
      </c>
      <c r="C4" s="25" t="s">
        <v>37</v>
      </c>
      <c r="D4" s="25" t="s">
        <v>38</v>
      </c>
      <c r="E4" s="25" t="s">
        <v>39</v>
      </c>
      <c r="F4" s="25" t="s">
        <v>40</v>
      </c>
    </row>
    <row r="5" spans="1:6" s="9" customFormat="1" ht="15" customHeight="1">
      <c r="A5" s="73">
        <v>1000</v>
      </c>
      <c r="B5" s="74" t="s">
        <v>12</v>
      </c>
      <c r="C5" s="75">
        <f>'Monthly Expenses'!O5</f>
        <v>425</v>
      </c>
      <c r="D5" s="75">
        <v>50000</v>
      </c>
      <c r="E5" s="75">
        <f>SUM(Budget[[#This Row],[YTD Budget]]-Budget[[#This Row],[YTD Actual]])</f>
        <v>49575</v>
      </c>
      <c r="F5" s="76">
        <f>SUM(Budget[[#This Row],[Remaining Budget $]]/Budget[[#This Row],[YTD Budget]])</f>
        <v>0.99150000000000005</v>
      </c>
    </row>
    <row r="6" spans="1:6" s="10" customFormat="1" ht="15" customHeight="1">
      <c r="A6" s="73">
        <v>2000</v>
      </c>
      <c r="B6" s="74" t="s">
        <v>13</v>
      </c>
      <c r="C6" s="75">
        <f>'Monthly Expenses'!O6</f>
        <v>905.27</v>
      </c>
      <c r="D6" s="75">
        <v>75000</v>
      </c>
      <c r="E6" s="75">
        <f>SUM(Budget[[#This Row],[YTD Budget]]-Budget[[#This Row],[YTD Actual]])</f>
        <v>74094.73</v>
      </c>
      <c r="F6" s="76">
        <f>SUM(Budget[[#This Row],[Remaining Budget $]]/Budget[[#This Row],[YTD Budget]])</f>
        <v>0.98792973333333323</v>
      </c>
    </row>
    <row r="7" spans="1:6" ht="15" customHeight="1">
      <c r="A7" s="73">
        <v>3000</v>
      </c>
      <c r="B7" s="74" t="s">
        <v>14</v>
      </c>
      <c r="C7" s="75">
        <f>'Monthly Expenses'!O7</f>
        <v>17500</v>
      </c>
      <c r="D7" s="75">
        <v>100000</v>
      </c>
      <c r="E7" s="75">
        <f>SUM(Budget[[#This Row],[YTD Budget]]-Budget[[#This Row],[YTD Actual]])</f>
        <v>82500</v>
      </c>
      <c r="F7" s="76">
        <f>SUM(Budget[[#This Row],[Remaining Budget $]]/Budget[[#This Row],[YTD Budget]])</f>
        <v>0.82499999999999996</v>
      </c>
    </row>
    <row r="8" spans="1:6" s="10" customFormat="1" ht="15" customHeight="1">
      <c r="A8" s="73">
        <v>4000</v>
      </c>
      <c r="B8" s="74" t="s">
        <v>15</v>
      </c>
      <c r="C8" s="75">
        <f>'Monthly Expenses'!O8</f>
        <v>1854</v>
      </c>
      <c r="D8" s="75">
        <v>25000</v>
      </c>
      <c r="E8" s="75">
        <f>SUM(Budget[[#This Row],[YTD Budget]]-Budget[[#This Row],[YTD Actual]])</f>
        <v>23146</v>
      </c>
      <c r="F8" s="76">
        <f>SUM(Budget[[#This Row],[Remaining Budget $]]/Budget[[#This Row],[YTD Budget]])</f>
        <v>0.92584</v>
      </c>
    </row>
    <row r="9" spans="1:6" ht="15" customHeight="1">
      <c r="A9" s="77">
        <v>5000</v>
      </c>
      <c r="B9" s="78" t="s">
        <v>16</v>
      </c>
      <c r="C9" s="79">
        <f>'Monthly Expenses'!O9</f>
        <v>35.6</v>
      </c>
      <c r="D9" s="79">
        <v>50000</v>
      </c>
      <c r="E9" s="79">
        <f>SUM(Budget[[#This Row],[YTD Budget]]-Budget[[#This Row],[YTD Actual]])</f>
        <v>49964.4</v>
      </c>
      <c r="F9" s="80">
        <f>SUM(Budget[[#This Row],[Remaining Budget $]]/Budget[[#This Row],[YTD Budget]])</f>
        <v>0.99928800000000007</v>
      </c>
    </row>
    <row r="10" spans="1:6" s="10" customFormat="1" ht="15" customHeight="1">
      <c r="A10" s="26" t="s">
        <v>1</v>
      </c>
      <c r="B10" s="27"/>
      <c r="C10" s="26"/>
      <c r="D10" s="28">
        <f>SUBTOTAL(109,[YTD Budget])</f>
        <v>300000</v>
      </c>
      <c r="E10" s="28">
        <f>SUBTOTAL(109,[Remaining Budget $])</f>
        <v>279280.13</v>
      </c>
      <c r="F10" s="29">
        <f>SUM(Budget[[#Totals],[Remaining Budget $]]/Budget[[#Totals],[YTD Budget]])</f>
        <v>0.93093376666666672</v>
      </c>
    </row>
    <row r="11" spans="1:6" customFormat="1" ht="15" customHeight="1"/>
    <row r="22" spans="6:6" ht="15" customHeight="1">
      <c r="F22" s="3"/>
    </row>
  </sheetData>
  <mergeCells count="1">
    <mergeCell ref="A2:F2"/>
  </mergeCells>
  <phoneticPr fontId="0" type="noConversion"/>
  <conditionalFormatting sqref="F5:F9">
    <cfRule type="dataBar" priority="1">
      <dataBar>
        <cfvo type="num" val="0.01"/>
        <cfvo type="num" val="1"/>
        <color rgb="FFFFC000"/>
      </dataBar>
    </cfRule>
  </conditionalFormatting>
  <pageMargins left="0.75" right="0.75" top="0.75" bottom="0.75" header="0.5" footer="0.5"/>
  <pageSetup orientation="landscape" r:id="rId1"/>
  <headerFooter alignWithMargins="0">
    <oddHeader xml:space="preserve">&amp;C&amp;"-,Regular"&amp;K000000Company Name
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enableFormatConditionsCalculation="0">
    <pageSetUpPr fitToPage="1"/>
  </sheetPr>
  <dimension ref="A2:O14"/>
  <sheetViews>
    <sheetView showGridLines="0" workbookViewId="0"/>
  </sheetViews>
  <sheetFormatPr defaultColWidth="12.28515625" defaultRowHeight="15" customHeight="1"/>
  <cols>
    <col min="1" max="2" width="12" style="11" customWidth="1"/>
    <col min="3" max="3" width="13.7109375" style="11" customWidth="1"/>
    <col min="4" max="4" width="15.28515625" style="11" customWidth="1"/>
    <col min="5" max="5" width="11.28515625" style="12" customWidth="1"/>
    <col min="6" max="6" width="10.7109375" style="11" customWidth="1"/>
    <col min="7" max="7" width="11.42578125" style="11" customWidth="1"/>
    <col min="8" max="8" width="10.7109375" style="11" customWidth="1"/>
    <col min="9" max="9" width="10" style="11" customWidth="1"/>
    <col min="10" max="11" width="11.28515625" style="11" customWidth="1"/>
    <col min="12" max="12" width="10.7109375" style="11" customWidth="1"/>
    <col min="13" max="14" width="11.28515625" style="11" customWidth="1"/>
    <col min="15" max="15" width="15.28515625" style="11" customWidth="1"/>
    <col min="16" max="16" width="12.28515625" style="11" customWidth="1"/>
    <col min="17" max="16384" width="12.28515625" style="11"/>
  </cols>
  <sheetData>
    <row r="2" spans="1:15" ht="20.25" thickBot="1">
      <c r="A2" s="81" t="s">
        <v>59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</row>
    <row r="3" spans="1:15" ht="17.25" thickTop="1">
      <c r="A3" s="8"/>
      <c r="B3" s="8"/>
      <c r="C3" s="8"/>
    </row>
    <row r="4" spans="1:15" ht="30">
      <c r="A4" s="1" t="s">
        <v>25</v>
      </c>
      <c r="B4" s="1" t="s">
        <v>5</v>
      </c>
      <c r="C4" s="30" t="s">
        <v>46</v>
      </c>
      <c r="D4" s="7" t="s">
        <v>47</v>
      </c>
      <c r="E4" s="7" t="s">
        <v>48</v>
      </c>
      <c r="F4" s="7" t="s">
        <v>49</v>
      </c>
      <c r="G4" s="7" t="s">
        <v>50</v>
      </c>
      <c r="H4" s="7" t="s">
        <v>51</v>
      </c>
      <c r="I4" s="7" t="s">
        <v>52</v>
      </c>
      <c r="J4" s="7" t="s">
        <v>53</v>
      </c>
      <c r="K4" s="7" t="s">
        <v>54</v>
      </c>
      <c r="L4" s="7" t="s">
        <v>55</v>
      </c>
      <c r="M4" s="7" t="s">
        <v>56</v>
      </c>
      <c r="N4" s="7" t="s">
        <v>57</v>
      </c>
      <c r="O4" s="82" t="s">
        <v>60</v>
      </c>
    </row>
    <row r="5" spans="1:15" s="13" customFormat="1" ht="15" customHeight="1">
      <c r="A5" s="10">
        <v>1000</v>
      </c>
      <c r="B5" s="66" t="s">
        <v>12</v>
      </c>
      <c r="C5" s="67">
        <f>SUMIF(Office[Constructed Key Field],"="&amp;(TEXT(Expenses[[#Headers],[Jan-07]],"mmm-yy")),Office[Amount of Check])</f>
        <v>100</v>
      </c>
      <c r="D5" s="67">
        <f>SUMIF(Office[Constructed Key Field],"="&amp;(TEXT(Expenses[[#Headers],[Feb-07]],"mmm-yy")),Office[Amount of Check])</f>
        <v>325</v>
      </c>
      <c r="E5" s="67">
        <f>SUMIF(Office[Constructed Key Field],"="&amp;(TEXT(Expenses[[#Headers],[Mar-07]],"mmm-yy")),Office[Amount of Check])</f>
        <v>0</v>
      </c>
      <c r="F5" s="67">
        <f>SUMIF(Office[Constructed Key Field],"="&amp;(TEXT(Expenses[[#Headers],[Apr-07]],"mmm-yy")),Office[Amount of Check])</f>
        <v>0</v>
      </c>
      <c r="G5" s="67">
        <f>SUMIF(Office[Constructed Key Field],"="&amp;(TEXT(Expenses[[#Headers],[May-07]],"mmm-yy")),Office[Amount of Check])</f>
        <v>0</v>
      </c>
      <c r="H5" s="67">
        <f>SUMIF(Office[Constructed Key Field],"="&amp;(TEXT(Expenses[[#Headers],[Jun-07]],"mmm-yy")),Office[Amount of Check])</f>
        <v>0</v>
      </c>
      <c r="I5" s="67">
        <f>SUMIF(Office[Constructed Key Field],"="&amp;(TEXT(Expenses[[#Headers],[Jul-07]],"mmm-yy")),Office[Amount of Check])</f>
        <v>0</v>
      </c>
      <c r="J5" s="67">
        <f>SUMIF(Office[Constructed Key Field],"="&amp;(TEXT(Expenses[[#Headers],[Aug-07]],"mmm-yy")),Office[Amount of Check])</f>
        <v>0</v>
      </c>
      <c r="K5" s="67">
        <f>SUMIF(Office[Constructed Key Field],"="&amp;(TEXT(Expenses[[#Headers],[Sep-07]],"mmm-yy")),Office[Amount of Check])</f>
        <v>0</v>
      </c>
      <c r="L5" s="67">
        <f>SUMIF(Office[Constructed Key Field],"="&amp;(TEXT(Expenses[[#Headers],[Oct-07]],"mmm-yy")),Office[Amount of Check])</f>
        <v>0</v>
      </c>
      <c r="M5" s="67">
        <f>SUMIF(Office[Constructed Key Field],"="&amp;(TEXT(Expenses[[#Headers],[Nov-07]],"mmm-yy")),Office[Amount of Check])</f>
        <v>0</v>
      </c>
      <c r="N5" s="67">
        <f>SUMIF(Office[Constructed Key Field],"="&amp;(TEXT(Expenses[[#Headers],[Dec-07]],"mmm-yy")),Office[Amount of Check])</f>
        <v>0</v>
      </c>
      <c r="O5" s="67">
        <f>SUM([Jan-07]+[Feb-07]+[Mar-07]+[Apr-07]+[May-07]+[Jun-07]+[Jul-07]+[Aug-07]+[Sep-07]+[Oct-07]+[Nov-07]+[Dec-07])</f>
        <v>425</v>
      </c>
    </row>
    <row r="6" spans="1:15" s="14" customFormat="1" ht="15" customHeight="1">
      <c r="A6" s="10">
        <v>2000</v>
      </c>
      <c r="B6" s="66" t="s">
        <v>13</v>
      </c>
      <c r="C6" s="67">
        <f>SUMIF(Store[Constructed Key Field],"="&amp;(TEXT(Expenses[[#Headers],[Jan-07]],"mmm-yy")),Store[Amount of Check])</f>
        <v>905.27</v>
      </c>
      <c r="D6" s="67">
        <f>SUMIF(Store[Constructed Key Field],"="&amp;(TEXT(Expenses[[#Headers],[Feb-07]],"mmm-yy")),Store[Amount of Check])</f>
        <v>0</v>
      </c>
      <c r="E6" s="67">
        <f>SUMIF(Store[Constructed Key Field],"="&amp;(TEXT(Expenses[[#Headers],[Mar-07]],"mmm-yy")),Store[Amount of Check])</f>
        <v>0</v>
      </c>
      <c r="F6" s="67">
        <f>SUMIF(Store[Constructed Key Field],"="&amp;(TEXT(Expenses[[#Headers],[Apr-07]],"mmm-yy")),Store[Amount of Check])</f>
        <v>0</v>
      </c>
      <c r="G6" s="67">
        <f>SUMIF(Store[Constructed Key Field],"="&amp;(TEXT(Expenses[[#Headers],[May-07]],"mmm-yy")),Store[Amount of Check])</f>
        <v>0</v>
      </c>
      <c r="H6" s="67">
        <f>SUMIF(Store[Constructed Key Field],"="&amp;(TEXT(Expenses[[#Headers],[Jun-07]],"mmm-yy")),Store[Amount of Check])</f>
        <v>0</v>
      </c>
      <c r="I6" s="67">
        <f>SUMIF(Store[Constructed Key Field],"="&amp;(TEXT(Expenses[[#Headers],[Jul-07]],"mmm-yy")),Store[Amount of Check])</f>
        <v>0</v>
      </c>
      <c r="J6" s="67">
        <f>SUMIF(Store[Constructed Key Field],"="&amp;(TEXT(Expenses[[#Headers],[Aug-07]],"mmm-yy")),Store[Amount of Check])</f>
        <v>0</v>
      </c>
      <c r="K6" s="67">
        <f>SUMIF(Store[Constructed Key Field],"="&amp;(TEXT(Expenses[[#Headers],[Sep-07]],"mmm-yy")),Store[Amount of Check])</f>
        <v>0</v>
      </c>
      <c r="L6" s="67">
        <f>SUMIF(Store[Constructed Key Field],"="&amp;(TEXT(Expenses[[#Headers],[Oct-07]],"mmm-yy")),Store[Amount of Check])</f>
        <v>0</v>
      </c>
      <c r="M6" s="67">
        <f>SUMIF(Store[Constructed Key Field],"="&amp;(TEXT(Expenses[[#Headers],[Nov-07]],"mmm-yy")),Store[Amount of Check])</f>
        <v>0</v>
      </c>
      <c r="N6" s="67">
        <f>SUMIF(Store[Constructed Key Field],"="&amp;(TEXT(Expenses[[#Headers],[Dec-07]],"mmm-yy")),Store[Amount of Check])</f>
        <v>0</v>
      </c>
      <c r="O6" s="67">
        <f>SUM([Jan-07]+[Feb-07]+[Mar-07]+[Apr-07]+[May-07]+[Jun-07]+[Jul-07]+[Aug-07]+[Sep-07]+[Oct-07]+[Nov-07]+[Dec-07])</f>
        <v>905.27</v>
      </c>
    </row>
    <row r="7" spans="1:15" ht="15" customHeight="1">
      <c r="A7" s="10">
        <v>3000</v>
      </c>
      <c r="B7" s="66" t="s">
        <v>14</v>
      </c>
      <c r="C7" s="67">
        <f>SUMIF(Staffing[Constructed Key Field],"="&amp;(TEXT(Expenses[[#Headers],[Jan-07]],"mmm-yy")),Staffing[Amount of Check])</f>
        <v>0</v>
      </c>
      <c r="D7" s="67">
        <f>SUMIF(Staffing[Constructed Key Field],"="&amp;(TEXT(Expenses[[#Headers],[Feb-07]],"mmm-yy")),Staffing[Amount of Check])</f>
        <v>17500</v>
      </c>
      <c r="E7" s="67">
        <f>SUMIF(Staffing[Constructed Key Field],"="&amp;(TEXT(Expenses[[#Headers],[Mar-07]],"mmm-yy")),Staffing[Amount of Check])</f>
        <v>0</v>
      </c>
      <c r="F7" s="67">
        <f>SUMIF(Staffing[Constructed Key Field],"="&amp;(TEXT(Expenses[[#Headers],[Apr-07]],"mmm-yy")),Staffing[Amount of Check])</f>
        <v>0</v>
      </c>
      <c r="G7" s="67">
        <f>SUMIF(Staffing[Constructed Key Field],"="&amp;(TEXT(Expenses[[#Headers],[May-07]],"mmm-yy")),Staffing[Amount of Check])</f>
        <v>0</v>
      </c>
      <c r="H7" s="67">
        <f>SUMIF(Staffing[Constructed Key Field],"="&amp;(TEXT(Expenses[[#Headers],[Jun-07]],"mmm-yy")),Staffing[Amount of Check])</f>
        <v>0</v>
      </c>
      <c r="I7" s="67">
        <f>SUMIF(Staffing[Constructed Key Field],"="&amp;(TEXT(Expenses[[#Headers],[Jul-07]],"mmm-yy")),Staffing[Amount of Check])</f>
        <v>0</v>
      </c>
      <c r="J7" s="67">
        <f>SUMIF(Staffing[Constructed Key Field],"="&amp;(TEXT(Expenses[[#Headers],[Aug-07]],"mmm-yy")),Staffing[Amount of Check])</f>
        <v>0</v>
      </c>
      <c r="K7" s="67">
        <f>SUMIF(Staffing[Constructed Key Field],"="&amp;(TEXT(Expenses[[#Headers],[Sep-07]],"mmm-yy")),Staffing[Amount of Check])</f>
        <v>0</v>
      </c>
      <c r="L7" s="67">
        <f>SUMIF(Staffing[Constructed Key Field],"="&amp;(TEXT(Expenses[[#Headers],[Oct-07]],"mmm-yy")),Staffing[Amount of Check])</f>
        <v>0</v>
      </c>
      <c r="M7" s="67">
        <f>SUMIF(Staffing[Constructed Key Field],"="&amp;(TEXT(Expenses[[#Headers],[Nov-07]],"mmm-yy")),Staffing[Amount of Check])</f>
        <v>0</v>
      </c>
      <c r="N7" s="67">
        <f>SUMIF(Staffing[Constructed Key Field],"="&amp;(TEXT(Expenses[[#Headers],[Dec-07]],"mmm-yy")),Staffing[Amount of Check])</f>
        <v>0</v>
      </c>
      <c r="O7" s="67">
        <f>SUM([Jan-07]+[Feb-07]+[Mar-07]+[Apr-07]+[May-07]+[Jun-07]+[Jul-07]+[Aug-07]+[Sep-07]+[Oct-07]+[Nov-07]+[Dec-07])</f>
        <v>17500</v>
      </c>
    </row>
    <row r="8" spans="1:15" s="14" customFormat="1" ht="15" customHeight="1">
      <c r="A8" s="10">
        <v>4000</v>
      </c>
      <c r="B8" s="66" t="s">
        <v>15</v>
      </c>
      <c r="C8" s="67">
        <f>SUMIF(Equipment[Constructed Key Field],"="&amp;(TEXT(Expenses[[#Headers],[Jan-07]],"mmm-yy")),Equipment[Amount of Check])</f>
        <v>1854</v>
      </c>
      <c r="D8" s="67">
        <f>SUMIF(Equipment[Constructed Key Field],"="&amp;(TEXT(Expenses[[#Headers],[Feb-07]],"mmm-yy")),Equipment[Amount of Check])</f>
        <v>0</v>
      </c>
      <c r="E8" s="67">
        <f>SUMIF(Equipment[Constructed Key Field],"="&amp;(TEXT(Expenses[[#Headers],[Mar-07]],"mmm-yy")),Equipment[Amount of Check])</f>
        <v>0</v>
      </c>
      <c r="F8" s="67">
        <f>SUMIF(Equipment[Constructed Key Field],"="&amp;(TEXT(Expenses[[#Headers],[Apr-07]],"mmm-yy")),Equipment[Amount of Check])</f>
        <v>0</v>
      </c>
      <c r="G8" s="67">
        <f>SUMIF(Equipment[Constructed Key Field],"="&amp;(TEXT(Expenses[[#Headers],[May-07]],"mmm-yy")),Equipment[Amount of Check])</f>
        <v>0</v>
      </c>
      <c r="H8" s="67">
        <f>SUMIF(Equipment[Constructed Key Field],"="&amp;(TEXT(Expenses[[#Headers],[Jun-07]],"mmm-yy")),Equipment[Amount of Check])</f>
        <v>0</v>
      </c>
      <c r="I8" s="67">
        <f>SUMIF(Equipment[Constructed Key Field],"="&amp;(TEXT(Expenses[[#Headers],[Jul-07]],"mmm-yy")),Equipment[Amount of Check])</f>
        <v>0</v>
      </c>
      <c r="J8" s="67">
        <f>SUMIF(Equipment[Constructed Key Field],"="&amp;(TEXT(Expenses[[#Headers],[Aug-07]],"mmm-yy")),Equipment[Amount of Check])</f>
        <v>0</v>
      </c>
      <c r="K8" s="67">
        <f>SUMIF(Equipment[Constructed Key Field],"="&amp;(TEXT(Expenses[[#Headers],[Sep-07]],"mmm-yy")),Equipment[Amount of Check])</f>
        <v>0</v>
      </c>
      <c r="L8" s="67">
        <f>SUMIF(Equipment[Constructed Key Field],"="&amp;(TEXT(Expenses[[#Headers],[Oct-07]],"mmm-yy")),Equipment[Amount of Check])</f>
        <v>0</v>
      </c>
      <c r="M8" s="67">
        <f>SUMIF(Equipment[Constructed Key Field],"="&amp;(TEXT(Expenses[[#Headers],[Nov-07]],"mmm-yy")),Equipment[Amount of Check])</f>
        <v>0</v>
      </c>
      <c r="N8" s="67">
        <f>SUMIF(Equipment[Constructed Key Field],"="&amp;(TEXT(Expenses[[#Headers],[Dec-07]],"mmm-yy")),Equipment[Amount of Check])</f>
        <v>0</v>
      </c>
      <c r="O8" s="67">
        <f>SUM([Jan-07]+[Feb-07]+[Mar-07]+[Apr-07]+[May-07]+[Jun-07]+[Jul-07]+[Aug-07]+[Sep-07]+[Oct-07]+[Nov-07]+[Dec-07])</f>
        <v>1854</v>
      </c>
    </row>
    <row r="9" spans="1:15" ht="15" customHeight="1">
      <c r="A9" s="10">
        <v>5000</v>
      </c>
      <c r="B9" s="66" t="s">
        <v>16</v>
      </c>
      <c r="C9" s="67">
        <f>SUMIF(Other[Constructed Key Field],"="&amp;(TEXT(Expenses[[#Headers],[Jan-07]],"mmm-yy")),Other[Amount of Check])</f>
        <v>35.6</v>
      </c>
      <c r="D9" s="67">
        <f>SUMIF(Other[Constructed Key Field],"="&amp;(TEXT(Expenses[[#Headers],[Feb-07]],"mmm-yy")),Other[Amount of Check])</f>
        <v>0</v>
      </c>
      <c r="E9" s="67">
        <f>SUMIF(Other[Constructed Key Field],"="&amp;(TEXT(Expenses[[#Headers],[Mar-07]],"mmm-yy")),Other[Amount of Check])</f>
        <v>0</v>
      </c>
      <c r="F9" s="67">
        <f>SUMIF(Other[Constructed Key Field],"="&amp;(TEXT(Expenses[[#Headers],[Apr-07]],"mmm-yy")),Other[Amount of Check])</f>
        <v>0</v>
      </c>
      <c r="G9" s="67">
        <f>SUMIF(Other[Constructed Key Field],"="&amp;(TEXT(Expenses[[#Headers],[May-07]],"mmm-yy")),Other[Amount of Check])</f>
        <v>0</v>
      </c>
      <c r="H9" s="67">
        <f>SUMIF(Other[Constructed Key Field],"="&amp;(TEXT(Expenses[[#Headers],[Jun-07]],"mmm-yy")),Other[Amount of Check])</f>
        <v>0</v>
      </c>
      <c r="I9" s="67">
        <f>SUMIF(Other[Constructed Key Field],"="&amp;(TEXT(Expenses[[#Headers],[Jul-07]],"mmm-yy")),Other[Amount of Check])</f>
        <v>0</v>
      </c>
      <c r="J9" s="67">
        <f>SUMIF(Other[Constructed Key Field],"="&amp;(TEXT(Expenses[[#Headers],[Aug-07]],"mmm-yy")),Other[Amount of Check])</f>
        <v>0</v>
      </c>
      <c r="K9" s="67">
        <f>SUMIF(Other[Constructed Key Field],"="&amp;(TEXT(Expenses[[#Headers],[Sep-07]],"mmm-yy")),Other[Amount of Check])</f>
        <v>0</v>
      </c>
      <c r="L9" s="67">
        <f>SUMIF(Other[Constructed Key Field],"="&amp;(TEXT(Expenses[[#Headers],[Oct-07]],"mmm-yy")),Other[Amount of Check])</f>
        <v>0</v>
      </c>
      <c r="M9" s="67">
        <f>SUMIF(Other[Constructed Key Field],"="&amp;(TEXT(Expenses[[#Headers],[Nov-07]],"mmm-yy")),Other[Amount of Check])</f>
        <v>0</v>
      </c>
      <c r="N9" s="67">
        <f>SUMIF(Other[Constructed Key Field],"="&amp;(TEXT(Expenses[[#Headers],[Dec-07]],"mmm-yy")),Other[Amount of Check])</f>
        <v>0</v>
      </c>
      <c r="O9" s="67">
        <f>SUM([Jan-07]+[Feb-07]+[Mar-07]+[Apr-07]+[May-07]+[Jun-07]+[Jul-07]+[Aug-07]+[Sep-07]+[Oct-07]+[Nov-07]+[Dec-07])</f>
        <v>35.6</v>
      </c>
    </row>
    <row r="10" spans="1:15" s="14" customFormat="1" ht="15" customHeight="1">
      <c r="A10" s="64" t="s">
        <v>1</v>
      </c>
      <c r="B10" s="64"/>
      <c r="C10" s="65">
        <f>SUBTOTAL(109,[Jan-07])</f>
        <v>2894.87</v>
      </c>
      <c r="D10" s="65">
        <f>SUBTOTAL(109,[Feb-07])</f>
        <v>17825</v>
      </c>
      <c r="E10" s="65">
        <f>SUBTOTAL(109,[Mar-07])</f>
        <v>0</v>
      </c>
      <c r="F10" s="65">
        <f>SUBTOTAL(109,[Apr-07])</f>
        <v>0</v>
      </c>
      <c r="G10" s="65">
        <f>SUBTOTAL(109,[May-07])</f>
        <v>0</v>
      </c>
      <c r="H10" s="65">
        <f>SUBTOTAL(109,[Jun-07])</f>
        <v>0</v>
      </c>
      <c r="I10" s="65">
        <f>SUBTOTAL(109,[Jul-07])</f>
        <v>0</v>
      </c>
      <c r="J10" s="65">
        <f>SUBTOTAL(109,[Aug-07])</f>
        <v>0</v>
      </c>
      <c r="K10" s="65">
        <f>SUBTOTAL(109,[Sep-07])</f>
        <v>0</v>
      </c>
      <c r="L10" s="65">
        <f>SUBTOTAL(109,[Oct-07])</f>
        <v>0</v>
      </c>
      <c r="M10" s="65">
        <f>SUBTOTAL(109,[Nov-07])</f>
        <v>0</v>
      </c>
      <c r="N10" s="65">
        <f>SUBTOTAL(109,[Dec-07])</f>
        <v>0</v>
      </c>
      <c r="O10" s="65">
        <f>SUBTOTAL(109,[2007 Total])</f>
        <v>20719.87</v>
      </c>
    </row>
    <row r="12" spans="1:15" s="14" customFormat="1" ht="15" customHeight="1">
      <c r="A12" s="11"/>
      <c r="B12" s="11"/>
      <c r="C12" s="11"/>
      <c r="D12" s="11"/>
      <c r="E12" s="12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4" spans="1:15" s="14" customFormat="1" ht="15" customHeight="1">
      <c r="A14" s="11"/>
      <c r="B14" s="11"/>
      <c r="C14" s="11"/>
      <c r="D14" s="11"/>
      <c r="E14" s="12"/>
      <c r="F14" s="11"/>
      <c r="G14" s="11"/>
      <c r="H14" s="11"/>
      <c r="I14" s="11"/>
      <c r="J14" s="11"/>
      <c r="K14" s="11"/>
      <c r="L14" s="11"/>
      <c r="M14" s="11"/>
      <c r="N14" s="11"/>
      <c r="O14" s="11"/>
    </row>
  </sheetData>
  <mergeCells count="1">
    <mergeCell ref="A2:O2"/>
  </mergeCells>
  <phoneticPr fontId="2" type="noConversion"/>
  <pageMargins left="0.5" right="0.5" top="0.75" bottom="0.75" header="0.5" footer="0.5"/>
  <pageSetup scale="64" orientation="landscape" r:id="rId1"/>
  <headerFooter alignWithMargins="0">
    <oddHeader>&amp;C&amp;"-,Regular"Company Name</oddHeader>
  </headerFooter>
  <ignoredErrors>
    <ignoredError sqref="C6:C9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1:J86"/>
  <sheetViews>
    <sheetView showGridLines="0" workbookViewId="0">
      <pane ySplit="1" topLeftCell="A2" activePane="bottomLeft" state="frozen"/>
      <selection pane="bottomLeft" activeCell="B5" sqref="B5"/>
    </sheetView>
  </sheetViews>
  <sheetFormatPr defaultRowHeight="12.75" customHeight="1"/>
  <cols>
    <col min="1" max="1" width="15" style="4" customWidth="1"/>
    <col min="2" max="2" width="13.42578125" style="4" customWidth="1"/>
    <col min="3" max="3" width="10.5703125" style="4" customWidth="1"/>
    <col min="4" max="4" width="15.7109375" style="5" customWidth="1"/>
    <col min="5" max="5" width="19" style="6" customWidth="1"/>
    <col min="6" max="6" width="20.7109375" style="5" customWidth="1"/>
    <col min="7" max="7" width="25.7109375" style="5" customWidth="1"/>
    <col min="8" max="8" width="22.42578125" style="4" customWidth="1"/>
    <col min="9" max="9" width="10.7109375" style="4" customWidth="1"/>
    <col min="10" max="10" width="7.7109375" style="4" customWidth="1"/>
    <col min="11" max="16384" width="9.140625" style="4"/>
  </cols>
  <sheetData>
    <row r="1" spans="1:10" ht="86.25">
      <c r="A1" s="17" t="s">
        <v>0</v>
      </c>
      <c r="B1" s="18" t="s">
        <v>2</v>
      </c>
      <c r="C1" s="19" t="s">
        <v>3</v>
      </c>
      <c r="D1" s="20" t="s">
        <v>6</v>
      </c>
      <c r="E1" s="21" t="s">
        <v>7</v>
      </c>
      <c r="F1" s="20" t="s">
        <v>8</v>
      </c>
      <c r="G1" s="20" t="s">
        <v>9</v>
      </c>
      <c r="H1" s="18" t="s">
        <v>10</v>
      </c>
      <c r="I1" s="18" t="s">
        <v>11</v>
      </c>
      <c r="J1" s="24" t="s">
        <v>4</v>
      </c>
    </row>
    <row r="2" spans="1:10" ht="12.75" customHeight="1">
      <c r="A2" s="35">
        <v>1000</v>
      </c>
      <c r="B2" s="39">
        <v>39097</v>
      </c>
      <c r="C2" s="46">
        <v>1</v>
      </c>
      <c r="D2" s="47" t="s">
        <v>26</v>
      </c>
      <c r="E2" s="38">
        <v>100</v>
      </c>
      <c r="F2" s="48" t="s">
        <v>27</v>
      </c>
      <c r="G2" s="49" t="s">
        <v>17</v>
      </c>
      <c r="H2" s="46" t="s">
        <v>18</v>
      </c>
      <c r="I2" s="39">
        <v>39102</v>
      </c>
      <c r="J2" s="68" t="str">
        <f>TEXT([Invoice Date],"mmm-yy")</f>
        <v>Jan-07</v>
      </c>
    </row>
    <row r="3" spans="1:10" ht="12.75" customHeight="1">
      <c r="A3" s="35">
        <v>1000</v>
      </c>
      <c r="B3" s="36">
        <v>39120</v>
      </c>
      <c r="C3" s="46">
        <v>5</v>
      </c>
      <c r="D3" s="47" t="s">
        <v>26</v>
      </c>
      <c r="E3" s="38">
        <v>50</v>
      </c>
      <c r="F3" s="48" t="s">
        <v>27</v>
      </c>
      <c r="G3" s="49" t="s">
        <v>24</v>
      </c>
      <c r="H3" s="46" t="s">
        <v>18</v>
      </c>
      <c r="I3" s="39">
        <v>39123</v>
      </c>
      <c r="J3" s="68" t="str">
        <f>TEXT([Invoice Date],"mmm-yy")</f>
        <v>Feb-07</v>
      </c>
    </row>
    <row r="4" spans="1:10" ht="12.75" customHeight="1">
      <c r="A4" s="35">
        <v>1000</v>
      </c>
      <c r="B4" s="36">
        <v>39128</v>
      </c>
      <c r="C4" s="46">
        <v>10</v>
      </c>
      <c r="D4" s="47" t="s">
        <v>26</v>
      </c>
      <c r="E4" s="38">
        <v>275</v>
      </c>
      <c r="F4" s="48" t="s">
        <v>41</v>
      </c>
      <c r="G4" s="49" t="s">
        <v>42</v>
      </c>
      <c r="H4" s="46" t="s">
        <v>18</v>
      </c>
      <c r="I4" s="39">
        <v>39123</v>
      </c>
      <c r="J4" s="68" t="str">
        <f>TEXT([Invoice Date],"mmm-yy")</f>
        <v>Feb-07</v>
      </c>
    </row>
    <row r="5" spans="1:10" ht="12.75" customHeight="1">
      <c r="A5" s="40">
        <v>1000</v>
      </c>
      <c r="B5" s="57"/>
      <c r="C5" s="58"/>
      <c r="D5" s="59"/>
      <c r="E5" s="54"/>
      <c r="F5" s="60"/>
      <c r="G5" s="61"/>
      <c r="H5" s="58"/>
      <c r="I5" s="45"/>
      <c r="J5" s="69" t="str">
        <f>TEXT([Invoice Date],"mmm-yy")</f>
        <v>Jan-00</v>
      </c>
    </row>
    <row r="6" spans="1:10" ht="12.75" customHeight="1">
      <c r="A6" s="83" t="s">
        <v>1</v>
      </c>
      <c r="B6" s="84"/>
      <c r="C6" s="85"/>
      <c r="D6" s="86"/>
      <c r="E6" s="87">
        <f>SUBTOTAL(109,[Amount of Check])</f>
        <v>425</v>
      </c>
      <c r="F6" s="88"/>
      <c r="G6" s="89"/>
      <c r="H6" s="85"/>
      <c r="I6" s="84"/>
      <c r="J6" s="90"/>
    </row>
    <row r="7" spans="1:10" ht="12.75" customHeight="1">
      <c r="D7" s="4"/>
      <c r="E7" s="4"/>
      <c r="F7" s="4"/>
      <c r="G7" s="4"/>
    </row>
    <row r="8" spans="1:10" ht="12.75" customHeight="1">
      <c r="D8" s="4"/>
      <c r="E8" s="4"/>
      <c r="F8" s="4"/>
      <c r="G8" s="4"/>
    </row>
    <row r="9" spans="1:10" ht="12.75" customHeight="1">
      <c r="D9" s="4"/>
      <c r="E9" s="4"/>
      <c r="F9" s="4"/>
      <c r="G9" s="4"/>
    </row>
    <row r="10" spans="1:10" ht="12.75" customHeight="1">
      <c r="D10" s="4"/>
      <c r="E10" s="4"/>
      <c r="F10" s="4"/>
      <c r="G10" s="4"/>
    </row>
    <row r="11" spans="1:10" ht="12.75" customHeight="1">
      <c r="D11" s="4"/>
      <c r="E11" s="4"/>
      <c r="F11" s="4"/>
      <c r="G11" s="4"/>
    </row>
    <row r="12" spans="1:10" ht="12.75" customHeight="1">
      <c r="D12" s="4"/>
      <c r="E12" s="4"/>
      <c r="F12" s="4"/>
      <c r="G12" s="4"/>
    </row>
    <row r="13" spans="1:10" ht="12.75" customHeight="1">
      <c r="D13" s="4"/>
      <c r="E13" s="4"/>
      <c r="F13" s="4"/>
      <c r="G13" s="4"/>
    </row>
    <row r="14" spans="1:10" ht="12.75" customHeight="1">
      <c r="D14" s="4"/>
      <c r="E14" s="4"/>
      <c r="F14" s="4"/>
      <c r="G14" s="4"/>
    </row>
    <row r="15" spans="1:10" ht="12.75" customHeight="1">
      <c r="D15" s="4"/>
      <c r="E15" s="4"/>
      <c r="F15" s="4"/>
      <c r="G15" s="4"/>
    </row>
    <row r="16" spans="1:10" ht="12.75" customHeight="1">
      <c r="D16" s="4"/>
      <c r="E16" s="4"/>
      <c r="F16" s="4"/>
      <c r="G16" s="4"/>
    </row>
    <row r="17" spans="4:7" ht="12.75" customHeight="1">
      <c r="D17" s="4"/>
      <c r="E17" s="4"/>
      <c r="F17" s="4"/>
      <c r="G17" s="4"/>
    </row>
    <row r="18" spans="4:7" ht="12.75" customHeight="1">
      <c r="D18" s="4"/>
      <c r="E18" s="4"/>
      <c r="F18" s="4"/>
      <c r="G18" s="4"/>
    </row>
    <row r="19" spans="4:7" ht="12.75" customHeight="1">
      <c r="D19" s="4"/>
      <c r="E19" s="4"/>
      <c r="F19" s="4"/>
      <c r="G19" s="4"/>
    </row>
    <row r="20" spans="4:7" ht="12.75" customHeight="1">
      <c r="D20" s="4"/>
      <c r="E20" s="4"/>
      <c r="F20" s="4"/>
      <c r="G20" s="4"/>
    </row>
    <row r="21" spans="4:7" ht="12.75" customHeight="1">
      <c r="D21" s="4"/>
      <c r="E21" s="4"/>
      <c r="F21" s="4"/>
      <c r="G21" s="4"/>
    </row>
    <row r="22" spans="4:7" ht="12.75" customHeight="1">
      <c r="D22" s="4"/>
      <c r="E22" s="4"/>
      <c r="F22" s="4"/>
      <c r="G22" s="4"/>
    </row>
    <row r="23" spans="4:7" ht="12.75" customHeight="1">
      <c r="D23" s="4"/>
      <c r="E23" s="4"/>
      <c r="F23" s="4"/>
      <c r="G23" s="4"/>
    </row>
    <row r="24" spans="4:7" ht="12.75" customHeight="1">
      <c r="D24" s="4"/>
      <c r="E24" s="4"/>
      <c r="F24" s="4"/>
      <c r="G24" s="4"/>
    </row>
    <row r="25" spans="4:7" ht="12.75" customHeight="1">
      <c r="D25" s="4"/>
      <c r="E25" s="4"/>
      <c r="F25" s="4"/>
      <c r="G25" s="4"/>
    </row>
    <row r="26" spans="4:7" ht="12.75" customHeight="1">
      <c r="D26" s="4"/>
      <c r="E26" s="4"/>
      <c r="F26" s="4"/>
      <c r="G26" s="4"/>
    </row>
    <row r="27" spans="4:7" ht="12.75" customHeight="1">
      <c r="D27" s="4"/>
      <c r="E27" s="4"/>
      <c r="F27" s="4"/>
      <c r="G27" s="4"/>
    </row>
    <row r="28" spans="4:7" ht="12.75" customHeight="1">
      <c r="D28" s="4"/>
      <c r="E28" s="4"/>
      <c r="F28" s="4"/>
      <c r="G28" s="4"/>
    </row>
    <row r="29" spans="4:7" ht="12.75" customHeight="1">
      <c r="D29" s="4"/>
      <c r="E29" s="4"/>
      <c r="F29" s="4"/>
      <c r="G29" s="4"/>
    </row>
    <row r="30" spans="4:7" ht="12.75" customHeight="1">
      <c r="D30" s="4"/>
      <c r="E30" s="4"/>
      <c r="F30" s="4"/>
      <c r="G30" s="4"/>
    </row>
    <row r="31" spans="4:7" ht="12.75" customHeight="1">
      <c r="D31" s="4"/>
      <c r="E31" s="4"/>
      <c r="F31" s="4"/>
      <c r="G31" s="4"/>
    </row>
    <row r="32" spans="4:7" ht="12.75" customHeight="1">
      <c r="D32" s="4"/>
      <c r="E32" s="4"/>
      <c r="F32" s="4"/>
      <c r="G32" s="4"/>
    </row>
    <row r="33" spans="4:7" ht="12.75" customHeight="1">
      <c r="D33" s="4"/>
      <c r="E33" s="4"/>
      <c r="F33" s="4"/>
      <c r="G33" s="4"/>
    </row>
    <row r="34" spans="4:7" ht="12.75" customHeight="1">
      <c r="D34" s="4"/>
      <c r="E34" s="4"/>
      <c r="F34" s="4"/>
      <c r="G34" s="4"/>
    </row>
    <row r="35" spans="4:7" ht="12.75" customHeight="1">
      <c r="D35" s="4"/>
      <c r="E35" s="4"/>
      <c r="F35" s="4"/>
      <c r="G35" s="4"/>
    </row>
    <row r="36" spans="4:7" ht="12.75" customHeight="1">
      <c r="D36" s="4"/>
      <c r="E36" s="4"/>
      <c r="F36" s="4"/>
      <c r="G36" s="4"/>
    </row>
    <row r="37" spans="4:7" ht="12.75" customHeight="1">
      <c r="D37" s="4"/>
      <c r="E37" s="4"/>
      <c r="F37" s="4"/>
      <c r="G37" s="4"/>
    </row>
    <row r="38" spans="4:7" ht="12.75" customHeight="1">
      <c r="D38" s="4"/>
      <c r="E38" s="4"/>
      <c r="F38" s="4"/>
      <c r="G38" s="4"/>
    </row>
    <row r="39" spans="4:7" ht="12.75" customHeight="1">
      <c r="D39" s="4"/>
      <c r="E39" s="4"/>
      <c r="F39" s="4"/>
      <c r="G39" s="4"/>
    </row>
    <row r="40" spans="4:7" ht="12.75" customHeight="1">
      <c r="D40" s="4"/>
      <c r="E40" s="4"/>
      <c r="F40" s="4"/>
      <c r="G40" s="4"/>
    </row>
    <row r="41" spans="4:7" ht="12.75" customHeight="1">
      <c r="D41" s="4"/>
      <c r="E41" s="4"/>
      <c r="F41" s="4"/>
      <c r="G41" s="4"/>
    </row>
    <row r="42" spans="4:7" ht="12.75" customHeight="1">
      <c r="D42" s="4"/>
      <c r="E42" s="4"/>
      <c r="F42" s="4"/>
      <c r="G42" s="4"/>
    </row>
    <row r="43" spans="4:7" ht="12.75" customHeight="1">
      <c r="D43" s="4"/>
      <c r="E43" s="4"/>
      <c r="F43" s="4"/>
      <c r="G43" s="4"/>
    </row>
    <row r="44" spans="4:7" ht="12.75" customHeight="1">
      <c r="D44" s="4"/>
      <c r="E44" s="4"/>
      <c r="F44" s="4"/>
      <c r="G44" s="4"/>
    </row>
    <row r="45" spans="4:7" ht="12.75" customHeight="1">
      <c r="D45" s="4"/>
      <c r="E45" s="4"/>
      <c r="F45" s="4"/>
      <c r="G45" s="4"/>
    </row>
    <row r="46" spans="4:7" ht="12.75" customHeight="1">
      <c r="D46" s="4"/>
      <c r="E46" s="4"/>
      <c r="F46" s="4"/>
      <c r="G46" s="4"/>
    </row>
    <row r="47" spans="4:7" ht="12.75" customHeight="1">
      <c r="D47" s="4"/>
      <c r="E47" s="4"/>
      <c r="F47" s="4"/>
      <c r="G47" s="4"/>
    </row>
    <row r="48" spans="4:7" ht="12.75" customHeight="1">
      <c r="D48" s="4"/>
      <c r="E48" s="4"/>
      <c r="F48" s="4"/>
      <c r="G48" s="4"/>
    </row>
    <row r="49" spans="4:7" ht="12.75" customHeight="1">
      <c r="D49" s="4"/>
      <c r="E49" s="4"/>
      <c r="F49" s="4"/>
      <c r="G49" s="4"/>
    </row>
    <row r="50" spans="4:7" ht="12.75" customHeight="1">
      <c r="D50" s="4"/>
      <c r="E50" s="4"/>
      <c r="F50" s="4"/>
      <c r="G50" s="4"/>
    </row>
    <row r="51" spans="4:7" ht="12.75" customHeight="1">
      <c r="D51" s="4"/>
      <c r="E51" s="4"/>
      <c r="F51" s="4"/>
      <c r="G51" s="4"/>
    </row>
    <row r="52" spans="4:7" ht="12.75" customHeight="1">
      <c r="D52" s="4"/>
      <c r="E52" s="4"/>
      <c r="F52" s="4"/>
      <c r="G52" s="4"/>
    </row>
    <row r="53" spans="4:7" ht="12.75" customHeight="1">
      <c r="D53" s="4"/>
      <c r="E53" s="4"/>
      <c r="F53" s="4"/>
      <c r="G53" s="4"/>
    </row>
    <row r="54" spans="4:7" ht="12.75" customHeight="1">
      <c r="D54" s="4"/>
      <c r="E54" s="4"/>
      <c r="F54" s="4"/>
      <c r="G54" s="4"/>
    </row>
    <row r="55" spans="4:7" ht="12.75" customHeight="1">
      <c r="D55" s="4"/>
      <c r="E55" s="4"/>
      <c r="F55" s="4"/>
      <c r="G55" s="4"/>
    </row>
    <row r="56" spans="4:7" ht="12.75" customHeight="1">
      <c r="D56" s="4"/>
      <c r="E56" s="4"/>
      <c r="F56" s="4"/>
      <c r="G56" s="4"/>
    </row>
    <row r="57" spans="4:7" ht="12.75" customHeight="1">
      <c r="D57" s="4"/>
      <c r="E57" s="4"/>
      <c r="F57" s="4"/>
      <c r="G57" s="4"/>
    </row>
    <row r="58" spans="4:7" ht="12.75" customHeight="1">
      <c r="D58" s="4"/>
      <c r="E58" s="4"/>
      <c r="F58" s="4"/>
      <c r="G58" s="4"/>
    </row>
    <row r="59" spans="4:7" ht="12.75" customHeight="1">
      <c r="D59" s="4"/>
      <c r="E59" s="4"/>
      <c r="F59" s="4"/>
      <c r="G59" s="4"/>
    </row>
    <row r="60" spans="4:7" ht="12.75" customHeight="1">
      <c r="D60" s="4"/>
      <c r="E60" s="4"/>
      <c r="F60" s="4"/>
      <c r="G60" s="4"/>
    </row>
    <row r="61" spans="4:7" ht="12.75" customHeight="1">
      <c r="D61" s="4"/>
      <c r="E61" s="4"/>
      <c r="F61" s="4"/>
      <c r="G61" s="4"/>
    </row>
    <row r="62" spans="4:7" ht="12.75" customHeight="1">
      <c r="D62" s="4"/>
      <c r="E62" s="4"/>
      <c r="F62" s="4"/>
      <c r="G62" s="4"/>
    </row>
    <row r="63" spans="4:7" ht="12.75" customHeight="1">
      <c r="D63" s="4"/>
      <c r="E63" s="4"/>
      <c r="F63" s="4"/>
      <c r="G63" s="4"/>
    </row>
    <row r="64" spans="4:7" ht="12.75" customHeight="1">
      <c r="D64" s="4"/>
      <c r="E64" s="4"/>
      <c r="F64" s="4"/>
      <c r="G64" s="4"/>
    </row>
    <row r="65" spans="4:7" ht="12.75" customHeight="1">
      <c r="D65" s="4"/>
      <c r="E65" s="4"/>
      <c r="F65" s="4"/>
      <c r="G65" s="4"/>
    </row>
    <row r="66" spans="4:7" ht="12.75" customHeight="1">
      <c r="D66" s="4"/>
      <c r="E66" s="4"/>
      <c r="F66" s="4"/>
      <c r="G66" s="4"/>
    </row>
    <row r="67" spans="4:7" ht="12.75" customHeight="1">
      <c r="D67" s="4"/>
      <c r="E67" s="4"/>
      <c r="F67" s="4"/>
      <c r="G67" s="4"/>
    </row>
    <row r="68" spans="4:7" ht="12.75" customHeight="1">
      <c r="D68" s="4"/>
      <c r="E68" s="4"/>
      <c r="F68" s="4"/>
      <c r="G68" s="4"/>
    </row>
    <row r="69" spans="4:7" ht="12.75" customHeight="1">
      <c r="D69" s="4"/>
      <c r="E69" s="4"/>
      <c r="F69" s="4"/>
      <c r="G69" s="4"/>
    </row>
    <row r="70" spans="4:7" ht="12.75" customHeight="1">
      <c r="D70" s="4"/>
      <c r="E70" s="4"/>
      <c r="F70" s="4"/>
      <c r="G70" s="4"/>
    </row>
    <row r="71" spans="4:7" ht="12.75" customHeight="1">
      <c r="D71" s="4"/>
      <c r="E71" s="4"/>
      <c r="F71" s="4"/>
      <c r="G71" s="4"/>
    </row>
    <row r="72" spans="4:7" ht="12.75" customHeight="1">
      <c r="D72" s="4"/>
      <c r="E72" s="4"/>
      <c r="F72" s="4"/>
      <c r="G72" s="4"/>
    </row>
    <row r="73" spans="4:7" ht="12.75" customHeight="1">
      <c r="D73" s="4"/>
      <c r="E73" s="4"/>
      <c r="F73" s="4"/>
      <c r="G73" s="4"/>
    </row>
    <row r="74" spans="4:7" ht="12.75" customHeight="1">
      <c r="D74" s="4"/>
      <c r="E74" s="4"/>
      <c r="F74" s="4"/>
      <c r="G74" s="4"/>
    </row>
    <row r="75" spans="4:7" ht="12.75" customHeight="1">
      <c r="D75" s="4"/>
      <c r="E75" s="4"/>
      <c r="F75" s="4"/>
      <c r="G75" s="4"/>
    </row>
    <row r="76" spans="4:7" ht="12.75" customHeight="1">
      <c r="D76" s="4"/>
      <c r="E76" s="4"/>
      <c r="F76" s="4"/>
      <c r="G76" s="4"/>
    </row>
    <row r="77" spans="4:7" ht="12.75" customHeight="1">
      <c r="D77" s="4"/>
      <c r="E77" s="4"/>
      <c r="F77" s="4"/>
      <c r="G77" s="4"/>
    </row>
    <row r="78" spans="4:7" ht="12.75" customHeight="1">
      <c r="D78" s="4"/>
      <c r="E78" s="4"/>
      <c r="F78" s="4"/>
      <c r="G78" s="4"/>
    </row>
    <row r="79" spans="4:7" ht="12.75" customHeight="1">
      <c r="D79" s="4"/>
      <c r="E79" s="4"/>
      <c r="F79" s="4"/>
      <c r="G79" s="4"/>
    </row>
    <row r="80" spans="4:7" ht="12.75" customHeight="1">
      <c r="D80" s="4"/>
      <c r="E80" s="4"/>
      <c r="F80" s="4"/>
      <c r="G80" s="4"/>
    </row>
    <row r="81" spans="4:7" ht="12.75" customHeight="1">
      <c r="D81" s="4"/>
      <c r="E81" s="4"/>
      <c r="F81" s="4"/>
      <c r="G81" s="4"/>
    </row>
    <row r="82" spans="4:7" ht="12.75" customHeight="1">
      <c r="D82" s="4"/>
      <c r="E82" s="4"/>
      <c r="F82" s="4"/>
      <c r="G82" s="4"/>
    </row>
    <row r="83" spans="4:7" ht="12.75" customHeight="1">
      <c r="D83" s="4"/>
      <c r="E83" s="4"/>
      <c r="F83" s="4"/>
      <c r="G83" s="4"/>
    </row>
    <row r="84" spans="4:7" ht="12.75" customHeight="1">
      <c r="D84" s="4"/>
      <c r="E84" s="4"/>
      <c r="F84" s="4"/>
      <c r="G84" s="4"/>
    </row>
    <row r="85" spans="4:7" ht="12.75" customHeight="1">
      <c r="D85" s="4"/>
      <c r="E85" s="4"/>
      <c r="F85" s="4"/>
      <c r="G85" s="4"/>
    </row>
    <row r="86" spans="4:7" ht="12.75" customHeight="1">
      <c r="D86" s="4"/>
      <c r="E86" s="4"/>
      <c r="F86" s="4"/>
      <c r="G86" s="4"/>
    </row>
  </sheetData>
  <phoneticPr fontId="0" type="noConversion"/>
  <printOptions horizontalCentered="1"/>
  <pageMargins left="0.25" right="0.25" top="1.18" bottom="1" header="0.5" footer="0.5"/>
  <pageSetup scale="75" orientation="landscape" r:id="rId1"/>
  <headerFooter alignWithMargins="0">
    <oddHeader>&amp;A</oddHeader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A1:J80"/>
  <sheetViews>
    <sheetView showGridLines="0" workbookViewId="0">
      <pane ySplit="1" topLeftCell="A2" activePane="bottomLeft" state="frozen"/>
      <selection pane="bottomLeft" activeCell="B4" sqref="B4"/>
    </sheetView>
  </sheetViews>
  <sheetFormatPr defaultColWidth="9.28515625" defaultRowHeight="12.75" customHeight="1"/>
  <cols>
    <col min="1" max="1" width="15" style="4" customWidth="1"/>
    <col min="2" max="2" width="13.42578125" style="4" customWidth="1"/>
    <col min="3" max="3" width="10.5703125" style="4" customWidth="1"/>
    <col min="4" max="4" width="15.7109375" style="5" customWidth="1"/>
    <col min="5" max="5" width="19" style="6" customWidth="1"/>
    <col min="6" max="6" width="22.42578125" style="5" customWidth="1"/>
    <col min="7" max="7" width="25.7109375" style="5" customWidth="1"/>
    <col min="8" max="8" width="22.42578125" style="4" customWidth="1"/>
    <col min="9" max="9" width="10.7109375" style="4" customWidth="1"/>
    <col min="10" max="10" width="7.42578125" style="4" customWidth="1"/>
    <col min="11" max="16384" width="9.28515625" style="4"/>
  </cols>
  <sheetData>
    <row r="1" spans="1:10" ht="86.25">
      <c r="A1" s="17" t="s">
        <v>0</v>
      </c>
      <c r="B1" s="18" t="s">
        <v>2</v>
      </c>
      <c r="C1" s="19" t="s">
        <v>3</v>
      </c>
      <c r="D1" s="20" t="s">
        <v>6</v>
      </c>
      <c r="E1" s="21" t="s">
        <v>7</v>
      </c>
      <c r="F1" s="20" t="s">
        <v>8</v>
      </c>
      <c r="G1" s="20" t="s">
        <v>9</v>
      </c>
      <c r="H1" s="18" t="s">
        <v>10</v>
      </c>
      <c r="I1" s="18" t="s">
        <v>11</v>
      </c>
      <c r="J1" s="24" t="s">
        <v>4</v>
      </c>
    </row>
    <row r="2" spans="1:10" ht="12.75" customHeight="1">
      <c r="A2" s="35">
        <v>2000</v>
      </c>
      <c r="B2" s="39">
        <v>39099</v>
      </c>
      <c r="C2" s="46">
        <v>2</v>
      </c>
      <c r="D2" s="47" t="s">
        <v>28</v>
      </c>
      <c r="E2" s="38">
        <v>550</v>
      </c>
      <c r="F2" s="48" t="s">
        <v>29</v>
      </c>
      <c r="G2" s="49" t="s">
        <v>19</v>
      </c>
      <c r="H2" s="46" t="s">
        <v>18</v>
      </c>
      <c r="I2" s="39">
        <v>39102</v>
      </c>
      <c r="J2" s="70" t="str">
        <f>TEXT([Invoice Date],"mmm-yy")</f>
        <v>Jan-07</v>
      </c>
    </row>
    <row r="3" spans="1:10" ht="12.75" customHeight="1">
      <c r="A3" s="35">
        <v>2000</v>
      </c>
      <c r="B3" s="36">
        <v>39101</v>
      </c>
      <c r="C3" s="46">
        <v>3</v>
      </c>
      <c r="D3" s="47" t="s">
        <v>28</v>
      </c>
      <c r="E3" s="38">
        <v>355.27</v>
      </c>
      <c r="F3" s="48" t="s">
        <v>30</v>
      </c>
      <c r="G3" s="49" t="s">
        <v>20</v>
      </c>
      <c r="H3" s="46" t="s">
        <v>18</v>
      </c>
      <c r="I3" s="39">
        <v>39102</v>
      </c>
      <c r="J3" s="70" t="str">
        <f>TEXT([Invoice Date],"mmm-yy")</f>
        <v>Jan-07</v>
      </c>
    </row>
    <row r="4" spans="1:10" ht="12.75" customHeight="1">
      <c r="A4" s="50">
        <v>2000</v>
      </c>
      <c r="B4" s="51"/>
      <c r="C4" s="52"/>
      <c r="D4" s="53"/>
      <c r="E4" s="54"/>
      <c r="F4" s="55"/>
      <c r="G4" s="56"/>
      <c r="H4" s="52"/>
      <c r="I4" s="57"/>
      <c r="J4" s="71" t="str">
        <f>TEXT([Invoice Date],"mmm-yy")</f>
        <v>Jan-00</v>
      </c>
    </row>
    <row r="5" spans="1:10" ht="12.75" customHeight="1">
      <c r="A5" s="83" t="s">
        <v>1</v>
      </c>
      <c r="B5" s="84"/>
      <c r="C5" s="85"/>
      <c r="D5" s="86"/>
      <c r="E5" s="87">
        <f>SUBTOTAL(109,[Amount of Check])</f>
        <v>905.27</v>
      </c>
      <c r="F5" s="88"/>
      <c r="G5" s="89"/>
      <c r="H5" s="85"/>
      <c r="I5" s="84"/>
      <c r="J5" s="91"/>
    </row>
    <row r="6" spans="1:10" ht="12.75" customHeight="1">
      <c r="D6" s="4"/>
      <c r="E6" s="4"/>
      <c r="F6" s="4"/>
      <c r="G6" s="4"/>
    </row>
    <row r="7" spans="1:10" ht="12.75" customHeight="1">
      <c r="D7" s="4"/>
      <c r="E7" s="4"/>
      <c r="F7" s="4"/>
      <c r="G7" s="4"/>
    </row>
    <row r="8" spans="1:10" ht="12.75" customHeight="1">
      <c r="D8" s="4"/>
      <c r="E8" s="4"/>
      <c r="F8" s="4"/>
      <c r="G8" s="4"/>
    </row>
    <row r="9" spans="1:10" ht="12.75" customHeight="1">
      <c r="D9" s="4"/>
      <c r="E9" s="4"/>
      <c r="F9" s="4"/>
      <c r="G9" s="4"/>
    </row>
    <row r="10" spans="1:10" ht="12.75" customHeight="1">
      <c r="D10" s="4"/>
      <c r="E10" s="4"/>
      <c r="F10" s="4"/>
      <c r="G10" s="4"/>
    </row>
    <row r="11" spans="1:10" ht="12.75" customHeight="1">
      <c r="D11" s="4"/>
      <c r="E11" s="4"/>
      <c r="F11" s="4"/>
      <c r="G11" s="4"/>
    </row>
    <row r="12" spans="1:10" ht="12.75" customHeight="1">
      <c r="D12" s="4"/>
      <c r="E12" s="4"/>
      <c r="F12" s="4"/>
      <c r="G12" s="4"/>
    </row>
    <row r="13" spans="1:10" ht="12.75" customHeight="1">
      <c r="D13" s="4"/>
      <c r="E13" s="4"/>
      <c r="F13" s="4"/>
      <c r="G13" s="4"/>
    </row>
    <row r="14" spans="1:10" ht="12.75" customHeight="1">
      <c r="D14" s="4"/>
      <c r="E14" s="4"/>
      <c r="F14" s="4"/>
      <c r="G14" s="4"/>
    </row>
    <row r="15" spans="1:10" ht="12.75" customHeight="1">
      <c r="D15" s="4"/>
      <c r="E15" s="4"/>
      <c r="F15" s="4"/>
      <c r="G15" s="4"/>
    </row>
    <row r="16" spans="1:10" ht="12.75" customHeight="1">
      <c r="D16" s="4"/>
      <c r="E16" s="4"/>
      <c r="F16" s="4"/>
      <c r="G16" s="4"/>
    </row>
    <row r="17" spans="4:7" ht="12.75" customHeight="1">
      <c r="D17" s="4"/>
      <c r="E17" s="4"/>
      <c r="F17" s="4"/>
      <c r="G17" s="4"/>
    </row>
    <row r="18" spans="4:7" ht="12.75" customHeight="1">
      <c r="D18" s="4"/>
      <c r="E18" s="4"/>
      <c r="F18" s="4"/>
      <c r="G18" s="4"/>
    </row>
    <row r="19" spans="4:7" ht="12.75" customHeight="1">
      <c r="D19" s="4"/>
      <c r="E19" s="4"/>
      <c r="F19" s="4"/>
      <c r="G19" s="4"/>
    </row>
    <row r="20" spans="4:7" ht="12.75" customHeight="1">
      <c r="D20" s="4"/>
      <c r="E20" s="4"/>
      <c r="F20" s="4"/>
      <c r="G20" s="4"/>
    </row>
    <row r="21" spans="4:7" ht="12.75" customHeight="1">
      <c r="D21" s="4"/>
      <c r="E21" s="4"/>
      <c r="F21" s="4"/>
      <c r="G21" s="4"/>
    </row>
    <row r="22" spans="4:7" ht="12.75" customHeight="1">
      <c r="D22" s="4"/>
      <c r="E22" s="4"/>
      <c r="F22" s="4"/>
      <c r="G22" s="4"/>
    </row>
    <row r="23" spans="4:7" ht="12.75" customHeight="1">
      <c r="D23" s="4"/>
      <c r="E23" s="4"/>
      <c r="F23" s="4"/>
      <c r="G23" s="4"/>
    </row>
    <row r="24" spans="4:7" ht="12.75" customHeight="1">
      <c r="D24" s="4"/>
      <c r="E24" s="4"/>
      <c r="F24" s="4"/>
      <c r="G24" s="4"/>
    </row>
    <row r="25" spans="4:7" ht="12.75" customHeight="1">
      <c r="D25" s="4"/>
      <c r="E25" s="4"/>
      <c r="F25" s="4"/>
      <c r="G25" s="4"/>
    </row>
    <row r="26" spans="4:7" ht="12.75" customHeight="1">
      <c r="D26" s="4"/>
      <c r="E26" s="4"/>
      <c r="F26" s="4"/>
      <c r="G26" s="4"/>
    </row>
    <row r="27" spans="4:7" ht="12.75" customHeight="1">
      <c r="D27" s="4"/>
      <c r="E27" s="4"/>
      <c r="F27" s="4"/>
      <c r="G27" s="4"/>
    </row>
    <row r="28" spans="4:7" ht="12.75" customHeight="1">
      <c r="D28" s="4"/>
      <c r="E28" s="4"/>
      <c r="F28" s="4"/>
      <c r="G28" s="4"/>
    </row>
    <row r="29" spans="4:7" ht="12.75" customHeight="1">
      <c r="D29" s="4"/>
      <c r="E29" s="4"/>
      <c r="F29" s="4"/>
      <c r="G29" s="4"/>
    </row>
    <row r="30" spans="4:7" ht="12.75" customHeight="1">
      <c r="D30" s="4"/>
      <c r="E30" s="4"/>
      <c r="F30" s="4"/>
      <c r="G30" s="4"/>
    </row>
    <row r="31" spans="4:7" ht="12.75" customHeight="1">
      <c r="D31" s="4"/>
      <c r="E31" s="4"/>
      <c r="F31" s="4"/>
      <c r="G31" s="4"/>
    </row>
    <row r="32" spans="4:7" ht="12.75" customHeight="1">
      <c r="D32" s="4"/>
      <c r="E32" s="4"/>
      <c r="F32" s="4"/>
      <c r="G32" s="4"/>
    </row>
    <row r="33" spans="4:7" ht="12.75" customHeight="1">
      <c r="D33" s="4"/>
      <c r="E33" s="4"/>
      <c r="F33" s="4"/>
      <c r="G33" s="4"/>
    </row>
    <row r="34" spans="4:7" ht="12.75" customHeight="1">
      <c r="D34" s="4"/>
      <c r="E34" s="4"/>
      <c r="F34" s="4"/>
      <c r="G34" s="4"/>
    </row>
    <row r="35" spans="4:7" ht="12.75" customHeight="1">
      <c r="D35" s="4"/>
      <c r="E35" s="4"/>
      <c r="F35" s="4"/>
      <c r="G35" s="4"/>
    </row>
    <row r="36" spans="4:7" ht="12.75" customHeight="1">
      <c r="D36" s="4"/>
      <c r="E36" s="4"/>
      <c r="F36" s="4"/>
      <c r="G36" s="4"/>
    </row>
    <row r="37" spans="4:7" ht="12.75" customHeight="1">
      <c r="D37" s="4"/>
      <c r="E37" s="4"/>
      <c r="F37" s="4"/>
      <c r="G37" s="4"/>
    </row>
    <row r="38" spans="4:7" ht="12.75" customHeight="1">
      <c r="D38" s="4"/>
      <c r="E38" s="4"/>
      <c r="F38" s="4"/>
      <c r="G38" s="4"/>
    </row>
    <row r="39" spans="4:7" ht="12.75" customHeight="1">
      <c r="D39" s="4"/>
      <c r="E39" s="4"/>
      <c r="F39" s="4"/>
      <c r="G39" s="4"/>
    </row>
    <row r="40" spans="4:7" ht="12.75" customHeight="1">
      <c r="D40" s="4"/>
      <c r="E40" s="4"/>
      <c r="F40" s="4"/>
      <c r="G40" s="4"/>
    </row>
    <row r="41" spans="4:7" ht="12.75" customHeight="1">
      <c r="D41" s="4"/>
      <c r="E41" s="4"/>
      <c r="F41" s="4"/>
      <c r="G41" s="4"/>
    </row>
    <row r="42" spans="4:7" ht="12.75" customHeight="1">
      <c r="D42" s="4"/>
      <c r="E42" s="4"/>
      <c r="F42" s="4"/>
      <c r="G42" s="4"/>
    </row>
    <row r="43" spans="4:7" ht="12.75" customHeight="1">
      <c r="D43" s="4"/>
      <c r="E43" s="4"/>
      <c r="F43" s="4"/>
      <c r="G43" s="4"/>
    </row>
    <row r="44" spans="4:7" ht="12.75" customHeight="1">
      <c r="D44" s="4"/>
      <c r="E44" s="4"/>
      <c r="F44" s="4"/>
      <c r="G44" s="4"/>
    </row>
    <row r="45" spans="4:7" ht="12.75" customHeight="1">
      <c r="D45" s="4"/>
      <c r="E45" s="4"/>
      <c r="F45" s="4"/>
      <c r="G45" s="4"/>
    </row>
    <row r="46" spans="4:7" ht="12.75" customHeight="1">
      <c r="D46" s="4"/>
      <c r="E46" s="4"/>
      <c r="F46" s="4"/>
      <c r="G46" s="4"/>
    </row>
    <row r="47" spans="4:7" ht="12.75" customHeight="1">
      <c r="D47" s="4"/>
      <c r="E47" s="4"/>
      <c r="F47" s="4"/>
      <c r="G47" s="4"/>
    </row>
    <row r="48" spans="4:7" ht="12.75" customHeight="1">
      <c r="D48" s="4"/>
      <c r="E48" s="4"/>
      <c r="F48" s="4"/>
      <c r="G48" s="4"/>
    </row>
    <row r="49" spans="4:7" ht="12.75" customHeight="1">
      <c r="D49" s="4"/>
      <c r="E49" s="4"/>
      <c r="F49" s="4"/>
      <c r="G49" s="4"/>
    </row>
    <row r="50" spans="4:7" ht="12.75" customHeight="1">
      <c r="D50" s="4"/>
      <c r="E50" s="4"/>
      <c r="F50" s="4"/>
      <c r="G50" s="4"/>
    </row>
    <row r="51" spans="4:7" ht="12.75" customHeight="1">
      <c r="D51" s="4"/>
      <c r="E51" s="4"/>
      <c r="F51" s="4"/>
      <c r="G51" s="4"/>
    </row>
    <row r="52" spans="4:7" ht="12.75" customHeight="1">
      <c r="D52" s="4"/>
      <c r="E52" s="4"/>
      <c r="F52" s="4"/>
      <c r="G52" s="4"/>
    </row>
    <row r="53" spans="4:7" ht="12.75" customHeight="1">
      <c r="D53" s="4"/>
      <c r="E53" s="4"/>
      <c r="F53" s="4"/>
      <c r="G53" s="4"/>
    </row>
    <row r="54" spans="4:7" ht="12.75" customHeight="1">
      <c r="D54" s="4"/>
      <c r="E54" s="4"/>
      <c r="F54" s="4"/>
      <c r="G54" s="4"/>
    </row>
    <row r="55" spans="4:7" ht="12.75" customHeight="1">
      <c r="D55" s="4"/>
      <c r="E55" s="4"/>
      <c r="F55" s="4"/>
      <c r="G55" s="4"/>
    </row>
    <row r="56" spans="4:7" ht="12.75" customHeight="1">
      <c r="D56" s="4"/>
      <c r="E56" s="4"/>
      <c r="F56" s="4"/>
      <c r="G56" s="4"/>
    </row>
    <row r="57" spans="4:7" ht="12.75" customHeight="1">
      <c r="D57" s="4"/>
      <c r="E57" s="4"/>
      <c r="F57" s="4"/>
      <c r="G57" s="4"/>
    </row>
    <row r="58" spans="4:7" ht="12.75" customHeight="1">
      <c r="D58" s="4"/>
      <c r="E58" s="4"/>
      <c r="F58" s="4"/>
      <c r="G58" s="4"/>
    </row>
    <row r="59" spans="4:7" ht="12.75" customHeight="1">
      <c r="D59" s="4"/>
      <c r="E59" s="4"/>
      <c r="F59" s="4"/>
      <c r="G59" s="4"/>
    </row>
    <row r="60" spans="4:7" ht="12.75" customHeight="1">
      <c r="D60" s="4"/>
      <c r="E60" s="4"/>
      <c r="F60" s="4"/>
      <c r="G60" s="4"/>
    </row>
    <row r="61" spans="4:7" ht="12.75" customHeight="1">
      <c r="D61" s="4"/>
      <c r="E61" s="4"/>
      <c r="F61" s="4"/>
      <c r="G61" s="4"/>
    </row>
    <row r="62" spans="4:7" ht="12.75" customHeight="1">
      <c r="D62" s="4"/>
      <c r="E62" s="4"/>
      <c r="F62" s="4"/>
      <c r="G62" s="4"/>
    </row>
    <row r="63" spans="4:7" ht="12.75" customHeight="1">
      <c r="D63" s="4"/>
      <c r="E63" s="4"/>
      <c r="F63" s="4"/>
      <c r="G63" s="4"/>
    </row>
    <row r="64" spans="4:7" ht="12.75" customHeight="1">
      <c r="D64" s="4"/>
      <c r="E64" s="4"/>
      <c r="F64" s="4"/>
      <c r="G64" s="4"/>
    </row>
    <row r="65" spans="4:7" ht="12.75" customHeight="1">
      <c r="D65" s="4"/>
      <c r="E65" s="4"/>
      <c r="F65" s="4"/>
      <c r="G65" s="4"/>
    </row>
    <row r="66" spans="4:7" ht="12.75" customHeight="1">
      <c r="D66" s="4"/>
      <c r="E66" s="4"/>
      <c r="F66" s="4"/>
      <c r="G66" s="4"/>
    </row>
    <row r="67" spans="4:7" ht="12.75" customHeight="1">
      <c r="D67" s="4"/>
      <c r="E67" s="4"/>
      <c r="F67" s="4"/>
      <c r="G67" s="4"/>
    </row>
    <row r="68" spans="4:7" ht="12.75" customHeight="1">
      <c r="D68" s="4"/>
      <c r="E68" s="4"/>
      <c r="F68" s="4"/>
      <c r="G68" s="4"/>
    </row>
    <row r="69" spans="4:7" ht="12.75" customHeight="1">
      <c r="D69" s="4"/>
      <c r="E69" s="4"/>
      <c r="F69" s="4"/>
      <c r="G69" s="4"/>
    </row>
    <row r="70" spans="4:7" ht="12.75" customHeight="1">
      <c r="D70" s="4"/>
      <c r="E70" s="4"/>
      <c r="F70" s="4"/>
      <c r="G70" s="4"/>
    </row>
    <row r="71" spans="4:7" ht="12.75" customHeight="1">
      <c r="D71" s="4"/>
      <c r="E71" s="4"/>
      <c r="F71" s="4"/>
      <c r="G71" s="4"/>
    </row>
    <row r="72" spans="4:7" ht="12.75" customHeight="1">
      <c r="D72" s="4"/>
      <c r="E72" s="4"/>
      <c r="F72" s="4"/>
      <c r="G72" s="4"/>
    </row>
    <row r="73" spans="4:7" ht="12.75" customHeight="1">
      <c r="D73" s="4"/>
      <c r="E73" s="4"/>
      <c r="F73" s="4"/>
      <c r="G73" s="4"/>
    </row>
    <row r="74" spans="4:7" ht="12.75" customHeight="1">
      <c r="D74" s="4"/>
      <c r="E74" s="4"/>
      <c r="F74" s="4"/>
      <c r="G74" s="4"/>
    </row>
    <row r="75" spans="4:7" ht="12.75" customHeight="1">
      <c r="D75" s="4"/>
      <c r="E75" s="4"/>
      <c r="F75" s="4"/>
      <c r="G75" s="4"/>
    </row>
    <row r="76" spans="4:7" ht="12.75" customHeight="1">
      <c r="D76" s="4"/>
      <c r="E76" s="4"/>
      <c r="F76" s="4"/>
      <c r="G76" s="4"/>
    </row>
    <row r="77" spans="4:7" ht="12.75" customHeight="1">
      <c r="D77" s="4"/>
      <c r="E77" s="4"/>
      <c r="F77" s="4"/>
      <c r="G77" s="4"/>
    </row>
    <row r="78" spans="4:7" ht="12.75" customHeight="1">
      <c r="D78" s="4"/>
      <c r="E78" s="4"/>
      <c r="F78" s="4"/>
      <c r="G78" s="4"/>
    </row>
    <row r="79" spans="4:7" ht="12.75" customHeight="1">
      <c r="D79" s="4"/>
      <c r="E79" s="4"/>
      <c r="F79" s="4"/>
      <c r="G79" s="4"/>
    </row>
    <row r="80" spans="4:7" ht="12.75" customHeight="1">
      <c r="D80" s="4"/>
      <c r="E80" s="4"/>
      <c r="F80" s="4"/>
      <c r="G80" s="4"/>
    </row>
  </sheetData>
  <phoneticPr fontId="0" type="noConversion"/>
  <printOptions horizontalCentered="1"/>
  <pageMargins left="0.25" right="0.25" top="1.18" bottom="1" header="0.5" footer="0.5"/>
  <pageSetup scale="75" orientation="landscape" r:id="rId1"/>
  <headerFooter alignWithMargins="0">
    <oddHeader>&amp;A</oddHeader>
    <oddFooter>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:J99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2.75" customHeight="1"/>
  <cols>
    <col min="1" max="1" width="15" style="2" customWidth="1"/>
    <col min="2" max="2" width="13.42578125" style="2" customWidth="1"/>
    <col min="3" max="3" width="10.5703125" style="2" customWidth="1"/>
    <col min="4" max="4" width="18.28515625" style="5" customWidth="1"/>
    <col min="5" max="5" width="19" style="15" customWidth="1"/>
    <col min="6" max="6" width="24.28515625" style="5" customWidth="1"/>
    <col min="7" max="7" width="18" style="5" customWidth="1"/>
    <col min="8" max="8" width="22.42578125" style="2" customWidth="1"/>
    <col min="9" max="9" width="10.7109375" style="2" customWidth="1"/>
    <col min="10" max="10" width="7.7109375" style="2" customWidth="1"/>
    <col min="11" max="16384" width="9.140625" style="2"/>
  </cols>
  <sheetData>
    <row r="1" spans="1:10" ht="86.25">
      <c r="A1" s="22" t="s">
        <v>0</v>
      </c>
      <c r="B1" s="18" t="s">
        <v>2</v>
      </c>
      <c r="C1" s="19" t="s">
        <v>3</v>
      </c>
      <c r="D1" s="20" t="s">
        <v>6</v>
      </c>
      <c r="E1" s="23" t="s">
        <v>7</v>
      </c>
      <c r="F1" s="20" t="s">
        <v>8</v>
      </c>
      <c r="G1" s="20" t="s">
        <v>9</v>
      </c>
      <c r="H1" s="18" t="s">
        <v>10</v>
      </c>
      <c r="I1" s="18" t="s">
        <v>11</v>
      </c>
      <c r="J1" s="24" t="s">
        <v>4</v>
      </c>
    </row>
    <row r="2" spans="1:10" s="4" customFormat="1" ht="12.75" customHeight="1">
      <c r="A2" s="32">
        <v>3000</v>
      </c>
      <c r="B2" s="31">
        <v>39123</v>
      </c>
      <c r="C2" s="33">
        <v>6</v>
      </c>
      <c r="D2" s="33" t="s">
        <v>31</v>
      </c>
      <c r="E2" s="34">
        <v>2500</v>
      </c>
      <c r="F2" s="33" t="s">
        <v>32</v>
      </c>
      <c r="G2" s="33" t="s">
        <v>33</v>
      </c>
      <c r="H2" s="33" t="s">
        <v>22</v>
      </c>
      <c r="I2" s="31">
        <v>39133</v>
      </c>
      <c r="J2" s="68" t="str">
        <f>TEXT([Invoice Date],"mmm-yy")</f>
        <v>Feb-07</v>
      </c>
    </row>
    <row r="3" spans="1:10" s="5" customFormat="1" ht="12.75" customHeight="1">
      <c r="A3" s="35">
        <v>3000</v>
      </c>
      <c r="B3" s="36">
        <v>39128</v>
      </c>
      <c r="C3" s="37">
        <v>11</v>
      </c>
      <c r="D3" s="33" t="s">
        <v>45</v>
      </c>
      <c r="E3" s="38">
        <v>15000</v>
      </c>
      <c r="F3" s="33" t="s">
        <v>43</v>
      </c>
      <c r="G3" s="33" t="s">
        <v>44</v>
      </c>
      <c r="H3" s="37" t="s">
        <v>22</v>
      </c>
      <c r="I3" s="39">
        <v>39133</v>
      </c>
      <c r="J3" s="68" t="str">
        <f>TEXT([Invoice Date],"mmm-yy")</f>
        <v>Feb-07</v>
      </c>
    </row>
    <row r="4" spans="1:10" s="5" customFormat="1" ht="12.75" customHeight="1">
      <c r="A4" s="40">
        <v>3000</v>
      </c>
      <c r="B4" s="41"/>
      <c r="C4" s="42"/>
      <c r="D4" s="43"/>
      <c r="E4" s="44"/>
      <c r="F4" s="43"/>
      <c r="G4" s="43"/>
      <c r="H4" s="42"/>
      <c r="I4" s="45"/>
      <c r="J4" s="69" t="str">
        <f>TEXT([Invoice Date],"mmm-yy")</f>
        <v>Jan-00</v>
      </c>
    </row>
    <row r="5" spans="1:10" s="5" customFormat="1" ht="12.75" customHeight="1">
      <c r="A5" s="83" t="s">
        <v>1</v>
      </c>
      <c r="B5" s="84"/>
      <c r="C5" s="84"/>
      <c r="D5" s="92"/>
      <c r="E5" s="87">
        <f>SUBTOTAL(109,[Amount of Check])</f>
        <v>17500</v>
      </c>
      <c r="F5" s="92"/>
      <c r="G5" s="92"/>
      <c r="H5" s="84"/>
      <c r="I5" s="84"/>
      <c r="J5" s="90"/>
    </row>
    <row r="6" spans="1:10" s="5" customFormat="1" ht="12.75" customHeight="1">
      <c r="A6" s="2"/>
      <c r="B6" s="2"/>
      <c r="C6" s="2"/>
      <c r="E6" s="15"/>
      <c r="H6" s="2"/>
      <c r="I6" s="2"/>
      <c r="J6" s="2"/>
    </row>
    <row r="7" spans="1:10" s="4" customFormat="1" ht="12.75" customHeight="1">
      <c r="A7" s="2"/>
      <c r="B7" s="2"/>
      <c r="C7" s="2"/>
      <c r="D7" s="5"/>
      <c r="E7" s="15"/>
      <c r="F7" s="5"/>
      <c r="G7" s="5"/>
      <c r="H7" s="2"/>
      <c r="I7" s="2"/>
      <c r="J7" s="2"/>
    </row>
    <row r="8" spans="1:10" s="4" customFormat="1" ht="12.75" customHeight="1">
      <c r="A8" s="2"/>
      <c r="B8" s="2"/>
      <c r="C8" s="2"/>
      <c r="D8" s="5"/>
      <c r="E8" s="15"/>
      <c r="F8" s="5"/>
      <c r="G8" s="5"/>
      <c r="H8" s="2"/>
      <c r="I8" s="2"/>
      <c r="J8" s="2"/>
    </row>
    <row r="9" spans="1:10" s="4" customFormat="1" ht="12.75" customHeight="1">
      <c r="A9" s="2"/>
      <c r="B9" s="2"/>
      <c r="C9" s="2"/>
      <c r="D9" s="5"/>
      <c r="E9" s="15"/>
      <c r="F9" s="5"/>
      <c r="G9" s="5"/>
      <c r="H9" s="2"/>
      <c r="I9" s="2"/>
      <c r="J9" s="2"/>
    </row>
    <row r="10" spans="1:10" s="4" customFormat="1" ht="12.75" customHeight="1">
      <c r="A10" s="2"/>
      <c r="B10" s="2"/>
      <c r="C10" s="2"/>
      <c r="D10" s="5"/>
      <c r="E10" s="15"/>
      <c r="F10" s="5"/>
      <c r="G10" s="5"/>
      <c r="H10" s="2"/>
      <c r="I10" s="2"/>
      <c r="J10" s="2"/>
    </row>
    <row r="11" spans="1:10" s="4" customFormat="1" ht="12.75" customHeight="1">
      <c r="A11" s="2"/>
      <c r="B11" s="2"/>
      <c r="C11" s="2"/>
      <c r="D11" s="5"/>
      <c r="E11" s="15"/>
      <c r="F11" s="5"/>
      <c r="G11" s="5"/>
      <c r="H11" s="2"/>
      <c r="I11" s="2"/>
      <c r="J11" s="2"/>
    </row>
    <row r="12" spans="1:10" s="4" customFormat="1" ht="12.75" customHeight="1">
      <c r="A12" s="2"/>
      <c r="B12" s="2"/>
      <c r="C12" s="2"/>
      <c r="D12" s="5"/>
      <c r="E12" s="15"/>
      <c r="F12" s="5"/>
      <c r="G12" s="5"/>
      <c r="H12" s="2"/>
      <c r="I12" s="2"/>
      <c r="J12" s="2"/>
    </row>
    <row r="13" spans="1:10" s="4" customFormat="1" ht="12.75" customHeight="1">
      <c r="A13" s="2"/>
      <c r="B13" s="2"/>
      <c r="C13" s="2"/>
      <c r="D13" s="5"/>
      <c r="E13" s="15"/>
      <c r="F13" s="5"/>
      <c r="G13" s="5"/>
      <c r="H13" s="2"/>
      <c r="I13" s="2"/>
      <c r="J13" s="2"/>
    </row>
    <row r="14" spans="1:10" s="4" customFormat="1" ht="12.75" customHeight="1">
      <c r="A14" s="2"/>
      <c r="B14" s="2"/>
      <c r="C14" s="2"/>
      <c r="D14" s="5"/>
      <c r="E14" s="15"/>
      <c r="F14" s="5"/>
      <c r="G14" s="5"/>
      <c r="H14" s="2"/>
      <c r="I14" s="2"/>
      <c r="J14" s="2"/>
    </row>
    <row r="15" spans="1:10" s="4" customFormat="1" ht="12.75" customHeight="1">
      <c r="A15" s="2"/>
      <c r="B15" s="2"/>
      <c r="C15" s="2"/>
      <c r="D15" s="5"/>
      <c r="E15" s="15"/>
      <c r="F15" s="5"/>
      <c r="G15" s="5"/>
      <c r="H15" s="2"/>
      <c r="I15" s="2"/>
      <c r="J15" s="2"/>
    </row>
    <row r="16" spans="1:10" s="4" customFormat="1" ht="12.75" customHeight="1">
      <c r="A16" s="2"/>
      <c r="B16" s="2"/>
      <c r="C16" s="2"/>
      <c r="D16" s="5"/>
      <c r="E16" s="15"/>
      <c r="F16" s="5"/>
      <c r="G16" s="5"/>
      <c r="H16" s="2"/>
      <c r="I16" s="2"/>
      <c r="J16" s="2"/>
    </row>
    <row r="17" spans="1:10" s="4" customFormat="1" ht="12.75" customHeight="1">
      <c r="A17" s="2"/>
      <c r="B17" s="2"/>
      <c r="C17" s="2"/>
      <c r="D17" s="5"/>
      <c r="E17" s="15"/>
      <c r="F17" s="5"/>
      <c r="G17" s="5"/>
      <c r="H17" s="2"/>
      <c r="I17" s="2"/>
      <c r="J17" s="2"/>
    </row>
    <row r="18" spans="1:10" s="4" customFormat="1" ht="12.75" customHeight="1">
      <c r="A18" s="2"/>
      <c r="B18" s="2"/>
      <c r="C18" s="2"/>
      <c r="D18" s="5"/>
      <c r="E18" s="15"/>
      <c r="F18" s="5"/>
      <c r="G18" s="5"/>
      <c r="H18" s="2"/>
      <c r="I18" s="2"/>
      <c r="J18" s="2"/>
    </row>
    <row r="19" spans="1:10" s="4" customFormat="1" ht="12.75" customHeight="1">
      <c r="A19" s="2"/>
      <c r="B19" s="2"/>
      <c r="C19" s="2"/>
      <c r="D19" s="5"/>
      <c r="E19" s="15"/>
      <c r="F19" s="5"/>
      <c r="G19" s="5"/>
      <c r="H19" s="2"/>
      <c r="I19" s="2"/>
      <c r="J19" s="2"/>
    </row>
    <row r="20" spans="1:10" s="4" customFormat="1" ht="12.75" customHeight="1">
      <c r="A20" s="2"/>
      <c r="B20" s="2"/>
      <c r="C20" s="2"/>
      <c r="D20" s="5"/>
      <c r="E20" s="15"/>
      <c r="F20" s="5"/>
      <c r="G20" s="5"/>
      <c r="H20" s="2"/>
      <c r="I20" s="2"/>
      <c r="J20" s="2"/>
    </row>
    <row r="21" spans="1:10" s="4" customFormat="1" ht="12.75" customHeight="1">
      <c r="A21" s="2"/>
      <c r="B21" s="2"/>
      <c r="C21" s="2"/>
      <c r="D21" s="5"/>
      <c r="E21" s="15"/>
      <c r="F21" s="5"/>
      <c r="G21" s="5"/>
      <c r="H21" s="2"/>
      <c r="I21" s="2"/>
      <c r="J21" s="2"/>
    </row>
    <row r="22" spans="1:10" s="4" customFormat="1" ht="12.75" customHeight="1">
      <c r="A22" s="2"/>
      <c r="B22" s="2"/>
      <c r="C22" s="2"/>
      <c r="D22" s="5"/>
      <c r="E22" s="15"/>
      <c r="F22" s="5"/>
      <c r="G22" s="5"/>
      <c r="H22" s="2"/>
      <c r="I22" s="2"/>
      <c r="J22" s="2"/>
    </row>
    <row r="23" spans="1:10" s="4" customFormat="1" ht="12.75" customHeight="1">
      <c r="A23" s="2"/>
      <c r="B23" s="2"/>
      <c r="C23" s="2"/>
      <c r="D23" s="5"/>
      <c r="E23" s="15"/>
      <c r="F23" s="5"/>
      <c r="G23" s="5"/>
      <c r="H23" s="2"/>
      <c r="I23" s="2"/>
      <c r="J23" s="2"/>
    </row>
    <row r="24" spans="1:10" s="4" customFormat="1" ht="12.75" customHeight="1">
      <c r="A24" s="2"/>
      <c r="B24" s="2"/>
      <c r="C24" s="2"/>
      <c r="D24" s="5"/>
      <c r="E24" s="15"/>
      <c r="F24" s="5"/>
      <c r="G24" s="5"/>
      <c r="H24" s="2"/>
      <c r="I24" s="2"/>
      <c r="J24" s="2"/>
    </row>
    <row r="25" spans="1:10" s="4" customFormat="1" ht="12.75" customHeight="1">
      <c r="A25" s="2"/>
      <c r="B25" s="2"/>
      <c r="C25" s="2"/>
      <c r="D25" s="5"/>
      <c r="E25" s="15"/>
      <c r="F25" s="5"/>
      <c r="G25" s="5"/>
      <c r="H25" s="2"/>
      <c r="I25" s="2"/>
      <c r="J25" s="2"/>
    </row>
    <row r="26" spans="1:10" s="4" customFormat="1" ht="12.75" customHeight="1">
      <c r="A26" s="2"/>
      <c r="B26" s="2"/>
      <c r="C26" s="2"/>
      <c r="D26" s="5"/>
      <c r="E26" s="15"/>
      <c r="F26" s="5"/>
      <c r="G26" s="5"/>
      <c r="H26" s="2"/>
      <c r="I26" s="2"/>
      <c r="J26" s="2"/>
    </row>
    <row r="27" spans="1:10" s="4" customFormat="1" ht="12.75" customHeight="1">
      <c r="A27" s="2"/>
      <c r="B27" s="2"/>
      <c r="C27" s="2"/>
      <c r="D27" s="5"/>
      <c r="E27" s="15"/>
      <c r="F27" s="5"/>
      <c r="G27" s="5"/>
      <c r="H27" s="2"/>
      <c r="I27" s="2"/>
      <c r="J27" s="2"/>
    </row>
    <row r="28" spans="1:10" s="4" customFormat="1" ht="12.75" customHeight="1">
      <c r="A28" s="2"/>
      <c r="B28" s="2"/>
      <c r="C28" s="2"/>
      <c r="D28" s="5"/>
      <c r="E28" s="15"/>
      <c r="F28" s="5"/>
      <c r="G28" s="5"/>
      <c r="H28" s="2"/>
      <c r="I28" s="2"/>
      <c r="J28" s="2"/>
    </row>
    <row r="29" spans="1:10" s="4" customFormat="1" ht="12.75" customHeight="1">
      <c r="A29" s="2"/>
      <c r="B29" s="2"/>
      <c r="C29" s="2"/>
      <c r="D29" s="5"/>
      <c r="E29" s="15"/>
      <c r="F29" s="5"/>
      <c r="G29" s="5"/>
      <c r="H29" s="2"/>
      <c r="I29" s="2"/>
      <c r="J29" s="2"/>
    </row>
    <row r="30" spans="1:10" s="4" customFormat="1" ht="12.75" customHeight="1">
      <c r="A30" s="2"/>
      <c r="B30" s="2"/>
      <c r="C30" s="2"/>
      <c r="D30" s="5"/>
      <c r="E30" s="15"/>
      <c r="F30" s="5"/>
      <c r="G30" s="5"/>
      <c r="H30" s="2"/>
      <c r="I30" s="2"/>
      <c r="J30" s="2"/>
    </row>
    <row r="31" spans="1:10" s="4" customFormat="1" ht="12.75" customHeight="1">
      <c r="A31" s="2"/>
      <c r="B31" s="2"/>
      <c r="C31" s="2"/>
      <c r="D31" s="5"/>
      <c r="E31" s="15"/>
      <c r="F31" s="5"/>
      <c r="G31" s="5"/>
      <c r="H31" s="2"/>
      <c r="I31" s="2"/>
      <c r="J31" s="2"/>
    </row>
    <row r="32" spans="1:10" s="4" customFormat="1" ht="12.75" customHeight="1">
      <c r="A32" s="2"/>
      <c r="B32" s="2"/>
      <c r="C32" s="2"/>
      <c r="D32" s="5"/>
      <c r="E32" s="15"/>
      <c r="F32" s="5"/>
      <c r="G32" s="5"/>
      <c r="H32" s="2"/>
      <c r="I32" s="2"/>
      <c r="J32" s="2"/>
    </row>
    <row r="33" spans="1:10" s="4" customFormat="1" ht="12.75" customHeight="1">
      <c r="A33" s="2"/>
      <c r="B33" s="2"/>
      <c r="C33" s="2"/>
      <c r="D33" s="5"/>
      <c r="E33" s="15"/>
      <c r="F33" s="5"/>
      <c r="G33" s="5"/>
      <c r="H33" s="2"/>
      <c r="I33" s="2"/>
      <c r="J33" s="2"/>
    </row>
    <row r="34" spans="1:10" s="4" customFormat="1" ht="12.75" customHeight="1">
      <c r="A34" s="2"/>
      <c r="B34" s="2"/>
      <c r="C34" s="2"/>
      <c r="D34" s="5"/>
      <c r="E34" s="15"/>
      <c r="F34" s="5"/>
      <c r="G34" s="5"/>
      <c r="H34" s="2"/>
      <c r="I34" s="2"/>
      <c r="J34" s="2"/>
    </row>
    <row r="35" spans="1:10" s="4" customFormat="1" ht="12.75" customHeight="1">
      <c r="A35" s="2"/>
      <c r="B35" s="2"/>
      <c r="C35" s="2"/>
      <c r="D35" s="5"/>
      <c r="E35" s="15"/>
      <c r="F35" s="5"/>
      <c r="G35" s="5"/>
      <c r="H35" s="2"/>
      <c r="I35" s="2"/>
      <c r="J35" s="2"/>
    </row>
    <row r="36" spans="1:10" s="4" customFormat="1" ht="12.75" customHeight="1">
      <c r="A36" s="2"/>
      <c r="B36" s="2"/>
      <c r="C36" s="2"/>
      <c r="D36" s="5"/>
      <c r="E36" s="15"/>
      <c r="F36" s="5"/>
      <c r="G36" s="5"/>
      <c r="H36" s="2"/>
      <c r="I36" s="2"/>
      <c r="J36" s="2"/>
    </row>
    <row r="37" spans="1:10" s="4" customFormat="1" ht="12.75" customHeight="1">
      <c r="A37" s="2"/>
      <c r="B37" s="2"/>
      <c r="C37" s="2"/>
      <c r="D37" s="5"/>
      <c r="E37" s="15"/>
      <c r="F37" s="5"/>
      <c r="G37" s="5"/>
      <c r="H37" s="2"/>
      <c r="I37" s="2"/>
      <c r="J37" s="2"/>
    </row>
    <row r="38" spans="1:10" s="4" customFormat="1" ht="12.75" customHeight="1">
      <c r="A38" s="2"/>
      <c r="B38" s="2"/>
      <c r="C38" s="2"/>
      <c r="D38" s="5"/>
      <c r="E38" s="15"/>
      <c r="F38" s="5"/>
      <c r="G38" s="5"/>
      <c r="H38" s="2"/>
      <c r="I38" s="2"/>
      <c r="J38" s="2"/>
    </row>
    <row r="39" spans="1:10" s="4" customFormat="1" ht="12.75" customHeight="1">
      <c r="A39" s="2"/>
      <c r="B39" s="2"/>
      <c r="C39" s="2"/>
      <c r="D39" s="5"/>
      <c r="E39" s="15"/>
      <c r="F39" s="5"/>
      <c r="G39" s="5"/>
      <c r="H39" s="2"/>
      <c r="I39" s="2"/>
      <c r="J39" s="2"/>
    </row>
    <row r="40" spans="1:10" s="4" customFormat="1" ht="12.75" customHeight="1">
      <c r="A40" s="2"/>
      <c r="B40" s="2"/>
      <c r="C40" s="2"/>
      <c r="D40" s="5"/>
      <c r="E40" s="15"/>
      <c r="F40" s="5"/>
      <c r="G40" s="5"/>
      <c r="H40" s="2"/>
      <c r="I40" s="2"/>
      <c r="J40" s="2"/>
    </row>
    <row r="41" spans="1:10" s="4" customFormat="1" ht="12.75" customHeight="1">
      <c r="A41" s="2"/>
      <c r="B41" s="2"/>
      <c r="C41" s="2"/>
      <c r="D41" s="5"/>
      <c r="E41" s="15"/>
      <c r="F41" s="5"/>
      <c r="G41" s="5"/>
      <c r="H41" s="2"/>
      <c r="I41" s="2"/>
      <c r="J41" s="2"/>
    </row>
    <row r="42" spans="1:10" s="4" customFormat="1" ht="12.75" customHeight="1">
      <c r="A42" s="2"/>
      <c r="B42" s="2"/>
      <c r="C42" s="2"/>
      <c r="D42" s="5"/>
      <c r="E42" s="15"/>
      <c r="F42" s="5"/>
      <c r="G42" s="5"/>
      <c r="H42" s="2"/>
      <c r="I42" s="2"/>
      <c r="J42" s="2"/>
    </row>
    <row r="43" spans="1:10" s="4" customFormat="1" ht="12.75" customHeight="1">
      <c r="A43" s="2"/>
      <c r="B43" s="2"/>
      <c r="C43" s="2"/>
      <c r="D43" s="5"/>
      <c r="E43" s="15"/>
      <c r="F43" s="5"/>
      <c r="G43" s="5"/>
      <c r="H43" s="2"/>
      <c r="I43" s="2"/>
      <c r="J43" s="2"/>
    </row>
    <row r="44" spans="1:10" s="4" customFormat="1" ht="12.75" customHeight="1">
      <c r="A44" s="2"/>
      <c r="B44" s="2"/>
      <c r="C44" s="2"/>
      <c r="D44" s="5"/>
      <c r="E44" s="15"/>
      <c r="F44" s="5"/>
      <c r="G44" s="5"/>
      <c r="H44" s="2"/>
      <c r="I44" s="2"/>
      <c r="J44" s="2"/>
    </row>
    <row r="45" spans="1:10" s="4" customFormat="1" ht="12.75" customHeight="1">
      <c r="A45" s="2"/>
      <c r="B45" s="2"/>
      <c r="C45" s="2"/>
      <c r="D45" s="5"/>
      <c r="E45" s="15"/>
      <c r="F45" s="5"/>
      <c r="G45" s="5"/>
      <c r="H45" s="2"/>
      <c r="I45" s="2"/>
      <c r="J45" s="2"/>
    </row>
    <row r="46" spans="1:10" s="4" customFormat="1" ht="12.75" customHeight="1">
      <c r="A46" s="2"/>
      <c r="B46" s="2"/>
      <c r="C46" s="2"/>
      <c r="D46" s="5"/>
      <c r="E46" s="15"/>
      <c r="F46" s="5"/>
      <c r="G46" s="5"/>
      <c r="H46" s="2"/>
      <c r="I46" s="2"/>
      <c r="J46" s="2"/>
    </row>
    <row r="47" spans="1:10" s="4" customFormat="1" ht="12.75" customHeight="1">
      <c r="A47" s="2"/>
      <c r="B47" s="2"/>
      <c r="C47" s="2"/>
      <c r="D47" s="5"/>
      <c r="E47" s="15"/>
      <c r="F47" s="5"/>
      <c r="G47" s="5"/>
      <c r="H47" s="2"/>
      <c r="I47" s="2"/>
      <c r="J47" s="2"/>
    </row>
    <row r="48" spans="1:10" s="4" customFormat="1" ht="12.75" customHeight="1">
      <c r="A48" s="2"/>
      <c r="B48" s="2"/>
      <c r="C48" s="2"/>
      <c r="D48" s="5"/>
      <c r="E48" s="15"/>
      <c r="F48" s="5"/>
      <c r="G48" s="5"/>
      <c r="H48" s="2"/>
      <c r="I48" s="2"/>
      <c r="J48" s="2"/>
    </row>
    <row r="49" spans="1:10" s="4" customFormat="1" ht="12.75" customHeight="1">
      <c r="A49" s="2"/>
      <c r="B49" s="2"/>
      <c r="C49" s="2"/>
      <c r="D49" s="5"/>
      <c r="E49" s="15"/>
      <c r="F49" s="5"/>
      <c r="G49" s="5"/>
      <c r="H49" s="2"/>
      <c r="I49" s="2"/>
      <c r="J49" s="2"/>
    </row>
    <row r="50" spans="1:10" s="4" customFormat="1" ht="12.75" customHeight="1">
      <c r="A50" s="2"/>
      <c r="B50" s="2"/>
      <c r="C50" s="2"/>
      <c r="D50" s="5"/>
      <c r="E50" s="15"/>
      <c r="F50" s="5"/>
      <c r="G50" s="5"/>
      <c r="H50" s="2"/>
      <c r="I50" s="2"/>
      <c r="J50" s="2"/>
    </row>
    <row r="51" spans="1:10" s="4" customFormat="1" ht="12.75" customHeight="1">
      <c r="A51" s="2"/>
      <c r="B51" s="2"/>
      <c r="C51" s="2"/>
      <c r="D51" s="5"/>
      <c r="E51" s="15"/>
      <c r="F51" s="5"/>
      <c r="G51" s="5"/>
      <c r="H51" s="2"/>
      <c r="I51" s="2"/>
      <c r="J51" s="2"/>
    </row>
    <row r="52" spans="1:10" s="4" customFormat="1" ht="12.75" customHeight="1">
      <c r="A52" s="2"/>
      <c r="B52" s="2"/>
      <c r="C52" s="2"/>
      <c r="D52" s="5"/>
      <c r="E52" s="15"/>
      <c r="F52" s="5"/>
      <c r="G52" s="5"/>
      <c r="H52" s="2"/>
      <c r="I52" s="2"/>
      <c r="J52" s="2"/>
    </row>
    <row r="53" spans="1:10" s="4" customFormat="1" ht="12.75" customHeight="1">
      <c r="A53" s="2"/>
      <c r="B53" s="2"/>
      <c r="C53" s="2"/>
      <c r="D53" s="5"/>
      <c r="E53" s="15"/>
      <c r="F53" s="5"/>
      <c r="G53" s="5"/>
      <c r="H53" s="2"/>
      <c r="I53" s="2"/>
      <c r="J53" s="2"/>
    </row>
    <row r="54" spans="1:10" s="4" customFormat="1" ht="12.75" customHeight="1">
      <c r="A54" s="2"/>
      <c r="B54" s="2"/>
      <c r="C54" s="2"/>
      <c r="D54" s="5"/>
      <c r="E54" s="15"/>
      <c r="F54" s="5"/>
      <c r="G54" s="5"/>
      <c r="H54" s="2"/>
      <c r="I54" s="2"/>
      <c r="J54" s="2"/>
    </row>
    <row r="55" spans="1:10" s="4" customFormat="1" ht="12.75" customHeight="1">
      <c r="A55" s="2"/>
      <c r="B55" s="2"/>
      <c r="C55" s="2"/>
      <c r="D55" s="5"/>
      <c r="E55" s="15"/>
      <c r="F55" s="5"/>
      <c r="G55" s="5"/>
      <c r="H55" s="2"/>
      <c r="I55" s="2"/>
      <c r="J55" s="2"/>
    </row>
    <row r="56" spans="1:10" s="4" customFormat="1" ht="12.75" customHeight="1">
      <c r="A56" s="2"/>
      <c r="B56" s="2"/>
      <c r="C56" s="2"/>
      <c r="D56" s="5"/>
      <c r="E56" s="15"/>
      <c r="F56" s="5"/>
      <c r="G56" s="5"/>
      <c r="H56" s="2"/>
      <c r="I56" s="2"/>
      <c r="J56" s="2"/>
    </row>
    <row r="57" spans="1:10" s="4" customFormat="1" ht="12.75" customHeight="1">
      <c r="A57" s="2"/>
      <c r="B57" s="2"/>
      <c r="C57" s="2"/>
      <c r="D57" s="5"/>
      <c r="E57" s="15"/>
      <c r="F57" s="5"/>
      <c r="G57" s="5"/>
      <c r="H57" s="2"/>
      <c r="I57" s="2"/>
      <c r="J57" s="2"/>
    </row>
    <row r="58" spans="1:10" s="4" customFormat="1" ht="12.75" customHeight="1">
      <c r="A58" s="2"/>
      <c r="B58" s="2"/>
      <c r="C58" s="2"/>
      <c r="D58" s="5"/>
      <c r="E58" s="15"/>
      <c r="F58" s="5"/>
      <c r="G58" s="5"/>
      <c r="H58" s="2"/>
      <c r="I58" s="2"/>
      <c r="J58" s="2"/>
    </row>
    <row r="59" spans="1:10" s="4" customFormat="1" ht="12.75" customHeight="1">
      <c r="A59" s="2"/>
      <c r="B59" s="2"/>
      <c r="C59" s="2"/>
      <c r="D59" s="5"/>
      <c r="E59" s="15"/>
      <c r="F59" s="5"/>
      <c r="G59" s="5"/>
      <c r="H59" s="2"/>
      <c r="I59" s="2"/>
      <c r="J59" s="2"/>
    </row>
    <row r="60" spans="1:10" s="4" customFormat="1" ht="12.75" customHeight="1">
      <c r="A60" s="2"/>
      <c r="B60" s="2"/>
      <c r="C60" s="2"/>
      <c r="D60" s="5"/>
      <c r="E60" s="15"/>
      <c r="F60" s="5"/>
      <c r="G60" s="5"/>
      <c r="H60" s="2"/>
      <c r="I60" s="2"/>
      <c r="J60" s="2"/>
    </row>
    <row r="61" spans="1:10" s="4" customFormat="1" ht="12.75" customHeight="1">
      <c r="A61" s="2"/>
      <c r="B61" s="2"/>
      <c r="C61" s="2"/>
      <c r="D61" s="5"/>
      <c r="E61" s="15"/>
      <c r="F61" s="5"/>
      <c r="G61" s="5"/>
      <c r="H61" s="2"/>
      <c r="I61" s="2"/>
      <c r="J61" s="2"/>
    </row>
    <row r="62" spans="1:10" s="4" customFormat="1" ht="12.75" customHeight="1">
      <c r="A62" s="2"/>
      <c r="B62" s="2"/>
      <c r="C62" s="2"/>
      <c r="D62" s="5"/>
      <c r="E62" s="15"/>
      <c r="F62" s="5"/>
      <c r="G62" s="5"/>
      <c r="H62" s="2"/>
      <c r="I62" s="2"/>
      <c r="J62" s="2"/>
    </row>
    <row r="63" spans="1:10" s="4" customFormat="1" ht="12.75" customHeight="1">
      <c r="A63" s="2"/>
      <c r="B63" s="2"/>
      <c r="C63" s="2"/>
      <c r="D63" s="5"/>
      <c r="E63" s="15"/>
      <c r="F63" s="5"/>
      <c r="G63" s="5"/>
      <c r="H63" s="2"/>
      <c r="I63" s="2"/>
      <c r="J63" s="2"/>
    </row>
    <row r="64" spans="1:10" s="4" customFormat="1" ht="12.75" customHeight="1">
      <c r="A64" s="2"/>
      <c r="B64" s="2"/>
      <c r="C64" s="2"/>
      <c r="D64" s="5"/>
      <c r="E64" s="15"/>
      <c r="F64" s="5"/>
      <c r="G64" s="5"/>
      <c r="H64" s="2"/>
      <c r="I64" s="2"/>
      <c r="J64" s="2"/>
    </row>
    <row r="65" spans="1:10" s="4" customFormat="1" ht="12.75" customHeight="1">
      <c r="A65" s="2"/>
      <c r="B65" s="2"/>
      <c r="C65" s="2"/>
      <c r="D65" s="5"/>
      <c r="E65" s="15"/>
      <c r="F65" s="5"/>
      <c r="G65" s="5"/>
      <c r="H65" s="2"/>
      <c r="I65" s="2"/>
      <c r="J65" s="2"/>
    </row>
    <row r="66" spans="1:10" s="4" customFormat="1" ht="12.75" customHeight="1">
      <c r="A66" s="2"/>
      <c r="B66" s="2"/>
      <c r="C66" s="2"/>
      <c r="D66" s="5"/>
      <c r="E66" s="15"/>
      <c r="F66" s="5"/>
      <c r="G66" s="5"/>
      <c r="H66" s="2"/>
      <c r="I66" s="2"/>
      <c r="J66" s="2"/>
    </row>
    <row r="67" spans="1:10" s="4" customFormat="1" ht="12.75" customHeight="1">
      <c r="A67" s="2"/>
      <c r="B67" s="2"/>
      <c r="C67" s="2"/>
      <c r="D67" s="5"/>
      <c r="E67" s="15"/>
      <c r="F67" s="5"/>
      <c r="G67" s="5"/>
      <c r="H67" s="2"/>
      <c r="I67" s="2"/>
      <c r="J67" s="2"/>
    </row>
    <row r="68" spans="1:10" s="4" customFormat="1" ht="12.75" customHeight="1">
      <c r="A68" s="2"/>
      <c r="B68" s="2"/>
      <c r="C68" s="2"/>
      <c r="D68" s="5"/>
      <c r="E68" s="15"/>
      <c r="F68" s="5"/>
      <c r="G68" s="5"/>
      <c r="H68" s="2"/>
      <c r="I68" s="2"/>
      <c r="J68" s="2"/>
    </row>
    <row r="69" spans="1:10" s="4" customFormat="1" ht="12.75" customHeight="1">
      <c r="A69" s="2"/>
      <c r="B69" s="2"/>
      <c r="C69" s="2"/>
      <c r="D69" s="5"/>
      <c r="E69" s="15"/>
      <c r="F69" s="5"/>
      <c r="G69" s="5"/>
      <c r="H69" s="2"/>
      <c r="I69" s="2"/>
      <c r="J69" s="2"/>
    </row>
    <row r="70" spans="1:10" s="4" customFormat="1" ht="12.75" customHeight="1">
      <c r="A70" s="2"/>
      <c r="B70" s="2"/>
      <c r="C70" s="2"/>
      <c r="D70" s="5"/>
      <c r="E70" s="15"/>
      <c r="F70" s="5"/>
      <c r="G70" s="5"/>
      <c r="H70" s="2"/>
      <c r="I70" s="2"/>
      <c r="J70" s="2"/>
    </row>
    <row r="71" spans="1:10" s="4" customFormat="1" ht="12.75" customHeight="1">
      <c r="A71" s="2"/>
      <c r="B71" s="2"/>
      <c r="C71" s="2"/>
      <c r="D71" s="5"/>
      <c r="E71" s="15"/>
      <c r="F71" s="5"/>
      <c r="G71" s="5"/>
      <c r="H71" s="2"/>
      <c r="I71" s="2"/>
      <c r="J71" s="2"/>
    </row>
    <row r="72" spans="1:10" s="4" customFormat="1" ht="12.75" customHeight="1">
      <c r="A72" s="2"/>
      <c r="B72" s="2"/>
      <c r="C72" s="2"/>
      <c r="D72" s="5"/>
      <c r="E72" s="15"/>
      <c r="F72" s="5"/>
      <c r="G72" s="5"/>
      <c r="H72" s="2"/>
      <c r="I72" s="2"/>
      <c r="J72" s="2"/>
    </row>
    <row r="73" spans="1:10" s="4" customFormat="1" ht="12.75" customHeight="1">
      <c r="A73" s="2"/>
      <c r="B73" s="2"/>
      <c r="C73" s="2"/>
      <c r="D73" s="5"/>
      <c r="E73" s="15"/>
      <c r="F73" s="5"/>
      <c r="G73" s="5"/>
      <c r="H73" s="2"/>
      <c r="I73" s="2"/>
      <c r="J73" s="2"/>
    </row>
    <row r="74" spans="1:10" s="4" customFormat="1" ht="12.75" customHeight="1">
      <c r="A74" s="2"/>
      <c r="B74" s="2"/>
      <c r="C74" s="2"/>
      <c r="D74" s="5"/>
      <c r="E74" s="15"/>
      <c r="F74" s="5"/>
      <c r="G74" s="5"/>
      <c r="H74" s="2"/>
      <c r="I74" s="2"/>
      <c r="J74" s="2"/>
    </row>
    <row r="75" spans="1:10" s="4" customFormat="1" ht="12.75" customHeight="1">
      <c r="A75" s="2"/>
      <c r="B75" s="2"/>
      <c r="C75" s="2"/>
      <c r="D75" s="5"/>
      <c r="E75" s="15"/>
      <c r="F75" s="5"/>
      <c r="G75" s="5"/>
      <c r="H75" s="2"/>
      <c r="I75" s="2"/>
      <c r="J75" s="2"/>
    </row>
    <row r="76" spans="1:10" s="4" customFormat="1" ht="12.75" customHeight="1">
      <c r="A76" s="2"/>
      <c r="B76" s="2"/>
      <c r="C76" s="2"/>
      <c r="D76" s="5"/>
      <c r="E76" s="15"/>
      <c r="F76" s="5"/>
      <c r="G76" s="5"/>
      <c r="H76" s="2"/>
      <c r="I76" s="2"/>
      <c r="J76" s="2"/>
    </row>
    <row r="77" spans="1:10" s="4" customFormat="1" ht="12.75" customHeight="1">
      <c r="A77" s="2"/>
      <c r="B77" s="2"/>
      <c r="C77" s="2"/>
      <c r="D77" s="5"/>
      <c r="E77" s="15"/>
      <c r="F77" s="5"/>
      <c r="G77" s="5"/>
      <c r="H77" s="2"/>
      <c r="I77" s="2"/>
      <c r="J77" s="2"/>
    </row>
    <row r="78" spans="1:10" s="4" customFormat="1" ht="12.75" customHeight="1">
      <c r="A78" s="2"/>
      <c r="B78" s="2"/>
      <c r="C78" s="2"/>
      <c r="D78" s="5"/>
      <c r="E78" s="15"/>
      <c r="F78" s="5"/>
      <c r="G78" s="5"/>
      <c r="H78" s="2"/>
      <c r="I78" s="2"/>
      <c r="J78" s="2"/>
    </row>
    <row r="79" spans="1:10" s="4" customFormat="1" ht="12.75" customHeight="1">
      <c r="A79" s="2"/>
      <c r="B79" s="2"/>
      <c r="C79" s="2"/>
      <c r="D79" s="5"/>
      <c r="E79" s="15"/>
      <c r="F79" s="5"/>
      <c r="G79" s="5"/>
      <c r="H79" s="2"/>
      <c r="I79" s="2"/>
      <c r="J79" s="2"/>
    </row>
    <row r="80" spans="1:10" s="4" customFormat="1" ht="12.75" customHeight="1">
      <c r="A80" s="2"/>
      <c r="B80" s="2"/>
      <c r="C80" s="2"/>
      <c r="D80" s="5"/>
      <c r="E80" s="15"/>
      <c r="F80" s="5"/>
      <c r="G80" s="5"/>
      <c r="H80" s="2"/>
      <c r="I80" s="2"/>
      <c r="J80" s="2"/>
    </row>
    <row r="81" spans="1:10" s="4" customFormat="1" ht="12.75" customHeight="1">
      <c r="A81" s="2"/>
      <c r="B81" s="2"/>
      <c r="C81" s="2"/>
      <c r="D81" s="5"/>
      <c r="E81" s="15"/>
      <c r="F81" s="5"/>
      <c r="G81" s="5"/>
      <c r="H81" s="2"/>
      <c r="I81" s="2"/>
      <c r="J81" s="2"/>
    </row>
    <row r="82" spans="1:10" s="4" customFormat="1" ht="12.75" customHeight="1">
      <c r="A82" s="2"/>
      <c r="B82" s="2"/>
      <c r="C82" s="2"/>
      <c r="D82" s="5"/>
      <c r="E82" s="15"/>
      <c r="F82" s="5"/>
      <c r="G82" s="5"/>
      <c r="H82" s="2"/>
      <c r="I82" s="2"/>
      <c r="J82" s="2"/>
    </row>
    <row r="83" spans="1:10" s="4" customFormat="1" ht="12.75" customHeight="1">
      <c r="A83" s="2"/>
      <c r="B83" s="2"/>
      <c r="C83" s="2"/>
      <c r="D83" s="5"/>
      <c r="E83" s="15"/>
      <c r="F83" s="5"/>
      <c r="G83" s="5"/>
      <c r="H83" s="2"/>
      <c r="I83" s="2"/>
      <c r="J83" s="2"/>
    </row>
    <row r="84" spans="1:10" s="4" customFormat="1" ht="12.75" customHeight="1">
      <c r="A84" s="2"/>
      <c r="B84" s="2"/>
      <c r="C84" s="2"/>
      <c r="D84" s="5"/>
      <c r="E84" s="15"/>
      <c r="F84" s="5"/>
      <c r="G84" s="5"/>
      <c r="H84" s="2"/>
      <c r="I84" s="2"/>
      <c r="J84" s="2"/>
    </row>
    <row r="85" spans="1:10" s="4" customFormat="1" ht="12.75" customHeight="1">
      <c r="A85" s="2"/>
      <c r="B85" s="2"/>
      <c r="C85" s="2"/>
      <c r="D85" s="5"/>
      <c r="E85" s="15"/>
      <c r="F85" s="5"/>
      <c r="G85" s="5"/>
      <c r="H85" s="2"/>
      <c r="I85" s="2"/>
      <c r="J85" s="2"/>
    </row>
    <row r="86" spans="1:10" s="4" customFormat="1" ht="12.75" customHeight="1">
      <c r="A86" s="2"/>
      <c r="B86" s="2"/>
      <c r="C86" s="2"/>
      <c r="D86" s="5"/>
      <c r="E86" s="15"/>
      <c r="F86" s="5"/>
      <c r="G86" s="5"/>
      <c r="H86" s="2"/>
      <c r="I86" s="2"/>
      <c r="J86" s="2"/>
    </row>
    <row r="87" spans="1:10" s="4" customFormat="1" ht="12.75" customHeight="1">
      <c r="A87" s="2"/>
      <c r="B87" s="2"/>
      <c r="C87" s="2"/>
      <c r="D87" s="5"/>
      <c r="E87" s="15"/>
      <c r="F87" s="5"/>
      <c r="G87" s="5"/>
      <c r="H87" s="2"/>
      <c r="I87" s="2"/>
      <c r="J87" s="2"/>
    </row>
    <row r="88" spans="1:10" s="4" customFormat="1" ht="12.75" customHeight="1">
      <c r="A88" s="2"/>
      <c r="B88" s="2"/>
      <c r="C88" s="2"/>
      <c r="D88" s="5"/>
      <c r="E88" s="15"/>
      <c r="F88" s="5"/>
      <c r="G88" s="5"/>
      <c r="H88" s="2"/>
      <c r="I88" s="2"/>
      <c r="J88" s="2"/>
    </row>
    <row r="89" spans="1:10" s="4" customFormat="1" ht="12.75" customHeight="1">
      <c r="A89" s="2"/>
      <c r="B89" s="2"/>
      <c r="C89" s="2"/>
      <c r="D89" s="5"/>
      <c r="E89" s="15"/>
      <c r="F89" s="5"/>
      <c r="G89" s="5"/>
      <c r="H89" s="2"/>
      <c r="I89" s="2"/>
      <c r="J89" s="2"/>
    </row>
    <row r="90" spans="1:10" s="4" customFormat="1" ht="12.75" customHeight="1">
      <c r="A90" s="2"/>
      <c r="B90" s="2"/>
      <c r="C90" s="2"/>
      <c r="D90" s="5"/>
      <c r="E90" s="15"/>
      <c r="F90" s="5"/>
      <c r="G90" s="5"/>
      <c r="H90" s="2"/>
      <c r="I90" s="2"/>
      <c r="J90" s="2"/>
    </row>
    <row r="91" spans="1:10" s="4" customFormat="1" ht="12.75" customHeight="1">
      <c r="A91" s="2"/>
      <c r="B91" s="2"/>
      <c r="C91" s="2"/>
      <c r="D91" s="5"/>
      <c r="E91" s="15"/>
      <c r="F91" s="5"/>
      <c r="G91" s="5"/>
      <c r="H91" s="2"/>
      <c r="I91" s="2"/>
      <c r="J91" s="2"/>
    </row>
    <row r="92" spans="1:10" s="4" customFormat="1" ht="12.75" customHeight="1">
      <c r="A92" s="2"/>
      <c r="B92" s="2"/>
      <c r="C92" s="2"/>
      <c r="D92" s="5"/>
      <c r="E92" s="15"/>
      <c r="F92" s="5"/>
      <c r="G92" s="5"/>
      <c r="H92" s="2"/>
      <c r="I92" s="2"/>
      <c r="J92" s="2"/>
    </row>
    <row r="93" spans="1:10" s="4" customFormat="1" ht="12.75" customHeight="1">
      <c r="A93" s="2"/>
      <c r="B93" s="2"/>
      <c r="C93" s="2"/>
      <c r="D93" s="5"/>
      <c r="E93" s="15"/>
      <c r="F93" s="5"/>
      <c r="G93" s="5"/>
      <c r="H93" s="2"/>
      <c r="I93" s="2"/>
      <c r="J93" s="2"/>
    </row>
    <row r="94" spans="1:10" s="4" customFormat="1" ht="12.75" customHeight="1">
      <c r="A94" s="2"/>
      <c r="B94" s="2"/>
      <c r="C94" s="2"/>
      <c r="D94" s="5"/>
      <c r="E94" s="15"/>
      <c r="F94" s="5"/>
      <c r="G94" s="5"/>
      <c r="H94" s="2"/>
      <c r="I94" s="2"/>
      <c r="J94" s="2"/>
    </row>
    <row r="95" spans="1:10" s="4" customFormat="1" ht="12.75" customHeight="1">
      <c r="A95" s="2"/>
      <c r="B95" s="2"/>
      <c r="C95" s="2"/>
      <c r="D95" s="5"/>
      <c r="E95" s="15"/>
      <c r="F95" s="5"/>
      <c r="G95" s="5"/>
      <c r="H95" s="2"/>
      <c r="I95" s="2"/>
      <c r="J95" s="2"/>
    </row>
    <row r="96" spans="1:10" s="4" customFormat="1" ht="12.75" customHeight="1">
      <c r="A96" s="2"/>
      <c r="B96" s="2"/>
      <c r="C96" s="2"/>
      <c r="D96" s="5"/>
      <c r="E96" s="15"/>
      <c r="F96" s="5"/>
      <c r="G96" s="5"/>
      <c r="H96" s="2"/>
      <c r="I96" s="2"/>
      <c r="J96" s="2"/>
    </row>
    <row r="97" spans="1:10" s="4" customFormat="1" ht="12.75" customHeight="1">
      <c r="A97" s="2"/>
      <c r="B97" s="2"/>
      <c r="C97" s="2"/>
      <c r="D97" s="5"/>
      <c r="E97" s="15"/>
      <c r="F97" s="5"/>
      <c r="G97" s="5"/>
      <c r="H97" s="2"/>
      <c r="I97" s="2"/>
      <c r="J97" s="2"/>
    </row>
    <row r="98" spans="1:10" s="4" customFormat="1" ht="12.75" customHeight="1">
      <c r="A98" s="2"/>
      <c r="B98" s="2"/>
      <c r="C98" s="2"/>
      <c r="D98" s="5"/>
      <c r="E98" s="15"/>
      <c r="F98" s="5"/>
      <c r="G98" s="5"/>
      <c r="H98" s="2"/>
      <c r="I98" s="2"/>
      <c r="J98" s="2"/>
    </row>
    <row r="99" spans="1:10" s="4" customFormat="1" ht="12.75" customHeight="1">
      <c r="A99" s="2"/>
      <c r="B99" s="2"/>
      <c r="C99" s="2"/>
      <c r="D99" s="5"/>
      <c r="E99" s="15"/>
      <c r="F99" s="5"/>
      <c r="G99" s="5"/>
      <c r="H99" s="2"/>
      <c r="I99" s="2"/>
      <c r="J99" s="2"/>
    </row>
  </sheetData>
  <phoneticPr fontId="0" type="noConversion"/>
  <printOptions horizontalCentered="1"/>
  <pageMargins left="0.25" right="0.25" top="1.18" bottom="1" header="0.5" footer="0.5"/>
  <pageSetup scale="75" orientation="landscape" r:id="rId1"/>
  <headerFooter alignWithMargins="0">
    <oddHeader>&amp;A</oddHeader>
    <oddFooter>Page &amp;P of &amp;N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A1:J100"/>
  <sheetViews>
    <sheetView showGridLines="0" workbookViewId="0">
      <pane ySplit="1" topLeftCell="A2" activePane="bottomLeft" state="frozen"/>
      <selection pane="bottomLeft" activeCell="B3" sqref="B3"/>
    </sheetView>
  </sheetViews>
  <sheetFormatPr defaultRowHeight="12.75" customHeight="1"/>
  <cols>
    <col min="1" max="1" width="15" style="2" customWidth="1"/>
    <col min="2" max="2" width="13.42578125" style="2" customWidth="1"/>
    <col min="3" max="3" width="10.5703125" style="2" customWidth="1"/>
    <col min="4" max="4" width="15.7109375" style="5" customWidth="1"/>
    <col min="5" max="5" width="19" style="15" customWidth="1"/>
    <col min="6" max="6" width="20.7109375" style="5" customWidth="1"/>
    <col min="7" max="7" width="25.7109375" style="5" customWidth="1"/>
    <col min="8" max="8" width="22.42578125" style="2" customWidth="1"/>
    <col min="9" max="9" width="10.7109375" style="2" customWidth="1"/>
    <col min="10" max="10" width="7.42578125" style="2" customWidth="1"/>
    <col min="11" max="16384" width="9.140625" style="2"/>
  </cols>
  <sheetData>
    <row r="1" spans="1:10" ht="86.25">
      <c r="A1" s="22" t="s">
        <v>0</v>
      </c>
      <c r="B1" s="18" t="s">
        <v>2</v>
      </c>
      <c r="C1" s="19" t="s">
        <v>3</v>
      </c>
      <c r="D1" s="20" t="s">
        <v>6</v>
      </c>
      <c r="E1" s="23" t="s">
        <v>7</v>
      </c>
      <c r="F1" s="20" t="s">
        <v>8</v>
      </c>
      <c r="G1" s="20" t="s">
        <v>9</v>
      </c>
      <c r="H1" s="18" t="s">
        <v>10</v>
      </c>
      <c r="I1" s="18" t="s">
        <v>11</v>
      </c>
      <c r="J1" s="24" t="s">
        <v>4</v>
      </c>
    </row>
    <row r="2" spans="1:10" s="4" customFormat="1" ht="12.75" customHeight="1">
      <c r="A2" s="32">
        <v>4000</v>
      </c>
      <c r="B2" s="31">
        <v>39107</v>
      </c>
      <c r="C2" s="62">
        <v>5</v>
      </c>
      <c r="D2" s="62" t="s">
        <v>34</v>
      </c>
      <c r="E2" s="34">
        <v>1854</v>
      </c>
      <c r="F2" s="33" t="s">
        <v>35</v>
      </c>
      <c r="G2" s="33" t="s">
        <v>23</v>
      </c>
      <c r="H2" s="33" t="s">
        <v>18</v>
      </c>
      <c r="I2" s="31">
        <v>39107</v>
      </c>
      <c r="J2" s="68" t="str">
        <f>TEXT([Invoice Date],"mmm-yy")</f>
        <v>Jan-07</v>
      </c>
    </row>
    <row r="3" spans="1:10" s="5" customFormat="1" ht="12.75" customHeight="1">
      <c r="A3" s="40">
        <v>4000</v>
      </c>
      <c r="B3" s="57"/>
      <c r="C3" s="63"/>
      <c r="D3" s="56"/>
      <c r="E3" s="54"/>
      <c r="F3" s="56"/>
      <c r="G3" s="56"/>
      <c r="H3" s="52"/>
      <c r="I3" s="45"/>
      <c r="J3" s="69" t="str">
        <f>TEXT([Invoice Date],"mmm-yy")</f>
        <v>Jan-00</v>
      </c>
    </row>
    <row r="4" spans="1:10" s="5" customFormat="1" ht="12.75" customHeight="1">
      <c r="A4" s="83" t="s">
        <v>1</v>
      </c>
      <c r="B4" s="84"/>
      <c r="C4" s="93"/>
      <c r="D4" s="92"/>
      <c r="E4" s="87">
        <f>SUBTOTAL(109,[Amount of Check])</f>
        <v>1854</v>
      </c>
      <c r="F4" s="92"/>
      <c r="G4" s="92"/>
      <c r="H4" s="84"/>
      <c r="I4" s="84"/>
      <c r="J4" s="90"/>
    </row>
    <row r="5" spans="1:10" s="5" customFormat="1" ht="12.75" customHeight="1">
      <c r="A5" s="2"/>
      <c r="B5" s="2"/>
      <c r="C5" s="2"/>
      <c r="E5" s="15"/>
      <c r="H5" s="2"/>
      <c r="I5" s="2"/>
      <c r="J5" s="2"/>
    </row>
    <row r="6" spans="1:10" s="5" customFormat="1" ht="12.75" customHeight="1">
      <c r="A6" s="2"/>
      <c r="B6" s="2"/>
      <c r="C6" s="2"/>
      <c r="E6" s="15"/>
      <c r="H6" s="2"/>
      <c r="I6" s="2"/>
      <c r="J6" s="2"/>
    </row>
    <row r="7" spans="1:10" s="5" customFormat="1" ht="12.75" customHeight="1">
      <c r="A7" s="2"/>
      <c r="B7" s="2"/>
      <c r="C7" s="2"/>
      <c r="E7" s="15"/>
      <c r="H7" s="2"/>
      <c r="I7" s="2"/>
      <c r="J7" s="2"/>
    </row>
    <row r="8" spans="1:10" s="4" customFormat="1" ht="12.75" customHeight="1">
      <c r="A8" s="2"/>
      <c r="B8" s="2"/>
      <c r="C8" s="2"/>
      <c r="D8" s="5"/>
      <c r="E8" s="15"/>
      <c r="F8" s="5"/>
      <c r="G8" s="5"/>
      <c r="H8" s="2"/>
      <c r="I8" s="2"/>
      <c r="J8" s="2"/>
    </row>
    <row r="9" spans="1:10" s="4" customFormat="1" ht="12.75" customHeight="1">
      <c r="A9" s="2"/>
      <c r="B9" s="2"/>
      <c r="C9" s="2"/>
      <c r="D9" s="5"/>
      <c r="E9" s="15"/>
      <c r="F9" s="5"/>
      <c r="G9" s="5"/>
      <c r="H9" s="2"/>
      <c r="I9" s="2"/>
      <c r="J9" s="2"/>
    </row>
    <row r="10" spans="1:10" s="4" customFormat="1" ht="12.75" customHeight="1">
      <c r="A10" s="2"/>
      <c r="B10" s="2"/>
      <c r="C10" s="2"/>
      <c r="D10" s="5"/>
      <c r="E10" s="15"/>
      <c r="F10" s="5"/>
      <c r="G10" s="5"/>
      <c r="H10" s="2"/>
      <c r="I10" s="2"/>
      <c r="J10" s="2"/>
    </row>
    <row r="11" spans="1:10" s="4" customFormat="1" ht="12.75" customHeight="1">
      <c r="A11" s="2"/>
      <c r="B11" s="2"/>
      <c r="C11" s="2"/>
      <c r="D11" s="5"/>
      <c r="E11" s="15"/>
      <c r="F11" s="5"/>
      <c r="G11" s="5"/>
      <c r="H11" s="2"/>
      <c r="I11" s="2"/>
      <c r="J11" s="2"/>
    </row>
    <row r="12" spans="1:10" s="4" customFormat="1" ht="12.75" customHeight="1">
      <c r="A12" s="2"/>
      <c r="B12" s="2"/>
      <c r="C12" s="2"/>
      <c r="D12" s="5"/>
      <c r="E12" s="15"/>
      <c r="F12" s="5"/>
      <c r="G12" s="5"/>
      <c r="H12" s="2"/>
      <c r="I12" s="2"/>
      <c r="J12" s="2"/>
    </row>
    <row r="13" spans="1:10" s="4" customFormat="1" ht="12.75" customHeight="1">
      <c r="A13" s="2"/>
      <c r="B13" s="2"/>
      <c r="C13" s="2"/>
      <c r="D13" s="5"/>
      <c r="E13" s="15"/>
      <c r="F13" s="5"/>
      <c r="G13" s="5"/>
      <c r="H13" s="2"/>
      <c r="I13" s="2"/>
      <c r="J13" s="2"/>
    </row>
    <row r="14" spans="1:10" s="4" customFormat="1" ht="12.75" customHeight="1">
      <c r="A14" s="2"/>
      <c r="B14" s="2"/>
      <c r="C14" s="2"/>
      <c r="D14" s="5"/>
      <c r="E14" s="15"/>
      <c r="F14" s="5"/>
      <c r="G14" s="5"/>
      <c r="H14" s="2"/>
      <c r="I14" s="2"/>
      <c r="J14" s="2"/>
    </row>
    <row r="15" spans="1:10" s="4" customFormat="1" ht="12.75" customHeight="1">
      <c r="A15" s="2"/>
      <c r="B15" s="2"/>
      <c r="C15" s="2"/>
      <c r="D15" s="5"/>
      <c r="E15" s="15"/>
      <c r="F15" s="5"/>
      <c r="G15" s="5"/>
      <c r="H15" s="2"/>
      <c r="I15" s="2"/>
      <c r="J15" s="2"/>
    </row>
    <row r="16" spans="1:10" s="4" customFormat="1" ht="12.75" customHeight="1">
      <c r="A16" s="2"/>
      <c r="B16" s="2"/>
      <c r="C16" s="2"/>
      <c r="D16" s="5"/>
      <c r="E16" s="15"/>
      <c r="F16" s="5"/>
      <c r="G16" s="5"/>
      <c r="H16" s="2"/>
      <c r="I16" s="2"/>
      <c r="J16" s="2"/>
    </row>
    <row r="17" spans="1:10" s="4" customFormat="1" ht="12.75" customHeight="1">
      <c r="A17" s="2"/>
      <c r="B17" s="2"/>
      <c r="C17" s="2"/>
      <c r="D17" s="5"/>
      <c r="E17" s="15"/>
      <c r="F17" s="5"/>
      <c r="G17" s="5"/>
      <c r="H17" s="2"/>
      <c r="I17" s="2"/>
      <c r="J17" s="2"/>
    </row>
    <row r="18" spans="1:10" s="4" customFormat="1" ht="12.75" customHeight="1">
      <c r="A18" s="2"/>
      <c r="B18" s="2"/>
      <c r="C18" s="2"/>
      <c r="D18" s="5"/>
      <c r="E18" s="15"/>
      <c r="F18" s="5"/>
      <c r="G18" s="5"/>
      <c r="H18" s="2"/>
      <c r="I18" s="2"/>
      <c r="J18" s="2"/>
    </row>
    <row r="19" spans="1:10" s="4" customFormat="1" ht="12.75" customHeight="1">
      <c r="A19" s="2"/>
      <c r="B19" s="2"/>
      <c r="C19" s="2"/>
      <c r="D19" s="5"/>
      <c r="E19" s="15"/>
      <c r="F19" s="5"/>
      <c r="G19" s="5"/>
      <c r="H19" s="2"/>
      <c r="I19" s="2"/>
      <c r="J19" s="2"/>
    </row>
    <row r="20" spans="1:10" s="4" customFormat="1" ht="12.75" customHeight="1">
      <c r="A20" s="2"/>
      <c r="B20" s="2"/>
      <c r="C20" s="2"/>
      <c r="D20" s="5"/>
      <c r="E20" s="15"/>
      <c r="F20" s="5"/>
      <c r="G20" s="5"/>
      <c r="H20" s="2"/>
      <c r="I20" s="2"/>
      <c r="J20" s="2"/>
    </row>
    <row r="21" spans="1:10" s="4" customFormat="1" ht="12.75" customHeight="1">
      <c r="A21" s="2"/>
      <c r="B21" s="2"/>
      <c r="C21" s="2"/>
      <c r="D21" s="5"/>
      <c r="E21" s="15"/>
      <c r="F21" s="5"/>
      <c r="G21" s="5"/>
      <c r="H21" s="2"/>
      <c r="I21" s="2"/>
      <c r="J21" s="2"/>
    </row>
    <row r="22" spans="1:10" s="4" customFormat="1" ht="12.75" customHeight="1">
      <c r="A22" s="2"/>
      <c r="B22" s="2"/>
      <c r="C22" s="2"/>
      <c r="D22" s="5"/>
      <c r="E22" s="15"/>
      <c r="F22" s="5"/>
      <c r="G22" s="5"/>
      <c r="H22" s="2"/>
      <c r="I22" s="2"/>
      <c r="J22" s="2"/>
    </row>
    <row r="23" spans="1:10" s="4" customFormat="1" ht="12.75" customHeight="1">
      <c r="A23" s="2"/>
      <c r="B23" s="2"/>
      <c r="C23" s="2"/>
      <c r="D23" s="5"/>
      <c r="E23" s="15"/>
      <c r="F23" s="5"/>
      <c r="G23" s="5"/>
      <c r="H23" s="2"/>
      <c r="I23" s="2"/>
      <c r="J23" s="2"/>
    </row>
    <row r="24" spans="1:10" s="4" customFormat="1" ht="12.75" customHeight="1">
      <c r="A24" s="2"/>
      <c r="B24" s="2"/>
      <c r="C24" s="2"/>
      <c r="D24" s="5"/>
      <c r="E24" s="15"/>
      <c r="F24" s="5"/>
      <c r="G24" s="5"/>
      <c r="H24" s="2"/>
      <c r="I24" s="2"/>
      <c r="J24" s="2"/>
    </row>
    <row r="25" spans="1:10" s="4" customFormat="1" ht="12.75" customHeight="1">
      <c r="A25" s="2"/>
      <c r="B25" s="2"/>
      <c r="C25" s="2"/>
      <c r="D25" s="5"/>
      <c r="E25" s="15"/>
      <c r="F25" s="5"/>
      <c r="G25" s="5"/>
      <c r="H25" s="2"/>
      <c r="I25" s="2"/>
      <c r="J25" s="2"/>
    </row>
    <row r="26" spans="1:10" s="4" customFormat="1" ht="12.75" customHeight="1">
      <c r="A26" s="2"/>
      <c r="B26" s="2"/>
      <c r="C26" s="2"/>
      <c r="D26" s="5"/>
      <c r="E26" s="15"/>
      <c r="F26" s="5"/>
      <c r="G26" s="5"/>
      <c r="H26" s="2"/>
      <c r="I26" s="2"/>
      <c r="J26" s="2"/>
    </row>
    <row r="27" spans="1:10" s="4" customFormat="1" ht="12.75" customHeight="1">
      <c r="A27" s="2"/>
      <c r="B27" s="2"/>
      <c r="C27" s="2"/>
      <c r="D27" s="5"/>
      <c r="E27" s="15"/>
      <c r="F27" s="5"/>
      <c r="G27" s="5"/>
      <c r="H27" s="2"/>
      <c r="I27" s="2"/>
      <c r="J27" s="2"/>
    </row>
    <row r="28" spans="1:10" s="4" customFormat="1" ht="12.75" customHeight="1">
      <c r="A28" s="2"/>
      <c r="B28" s="2"/>
      <c r="C28" s="2"/>
      <c r="D28" s="5"/>
      <c r="E28" s="15"/>
      <c r="F28" s="5"/>
      <c r="G28" s="5"/>
      <c r="H28" s="2"/>
      <c r="I28" s="2"/>
      <c r="J28" s="2"/>
    </row>
    <row r="29" spans="1:10" s="4" customFormat="1" ht="12.75" customHeight="1">
      <c r="A29" s="2"/>
      <c r="B29" s="2"/>
      <c r="C29" s="2"/>
      <c r="D29" s="5"/>
      <c r="E29" s="15"/>
      <c r="F29" s="5"/>
      <c r="G29" s="5"/>
      <c r="H29" s="2"/>
      <c r="I29" s="2"/>
      <c r="J29" s="2"/>
    </row>
    <row r="30" spans="1:10" s="4" customFormat="1" ht="12.75" customHeight="1">
      <c r="A30" s="2"/>
      <c r="B30" s="2"/>
      <c r="C30" s="2"/>
      <c r="D30" s="5"/>
      <c r="E30" s="15"/>
      <c r="F30" s="5"/>
      <c r="G30" s="5"/>
      <c r="H30" s="2"/>
      <c r="I30" s="2"/>
      <c r="J30" s="2"/>
    </row>
    <row r="31" spans="1:10" s="4" customFormat="1" ht="12.75" customHeight="1">
      <c r="A31" s="2"/>
      <c r="B31" s="2"/>
      <c r="C31" s="2"/>
      <c r="D31" s="5"/>
      <c r="E31" s="15"/>
      <c r="F31" s="5"/>
      <c r="G31" s="5"/>
      <c r="H31" s="2"/>
      <c r="I31" s="2"/>
      <c r="J31" s="2"/>
    </row>
    <row r="32" spans="1:10" s="4" customFormat="1" ht="12.75" customHeight="1">
      <c r="A32" s="2"/>
      <c r="B32" s="2"/>
      <c r="C32" s="2"/>
      <c r="D32" s="5"/>
      <c r="E32" s="15"/>
      <c r="F32" s="5"/>
      <c r="G32" s="5"/>
      <c r="H32" s="2"/>
      <c r="I32" s="2"/>
      <c r="J32" s="2"/>
    </row>
    <row r="33" spans="1:10" s="4" customFormat="1" ht="12.75" customHeight="1">
      <c r="A33" s="2"/>
      <c r="B33" s="2"/>
      <c r="C33" s="2"/>
      <c r="D33" s="5"/>
      <c r="E33" s="15"/>
      <c r="F33" s="5"/>
      <c r="G33" s="5"/>
      <c r="H33" s="2"/>
      <c r="I33" s="2"/>
      <c r="J33" s="2"/>
    </row>
    <row r="34" spans="1:10" s="4" customFormat="1" ht="12.75" customHeight="1">
      <c r="A34" s="2"/>
      <c r="B34" s="2"/>
      <c r="C34" s="2"/>
      <c r="D34" s="5"/>
      <c r="E34" s="15"/>
      <c r="F34" s="5"/>
      <c r="G34" s="5"/>
      <c r="H34" s="2"/>
      <c r="I34" s="2"/>
      <c r="J34" s="2"/>
    </row>
    <row r="35" spans="1:10" s="4" customFormat="1" ht="12.75" customHeight="1">
      <c r="A35" s="2"/>
      <c r="B35" s="2"/>
      <c r="C35" s="2"/>
      <c r="D35" s="5"/>
      <c r="E35" s="15"/>
      <c r="F35" s="5"/>
      <c r="G35" s="5"/>
      <c r="H35" s="2"/>
      <c r="I35" s="2"/>
      <c r="J35" s="2"/>
    </row>
    <row r="36" spans="1:10" s="4" customFormat="1" ht="12.75" customHeight="1">
      <c r="A36" s="2"/>
      <c r="B36" s="2"/>
      <c r="C36" s="2"/>
      <c r="D36" s="5"/>
      <c r="E36" s="15"/>
      <c r="F36" s="5"/>
      <c r="G36" s="5"/>
      <c r="H36" s="2"/>
      <c r="I36" s="2"/>
      <c r="J36" s="2"/>
    </row>
    <row r="37" spans="1:10" s="4" customFormat="1" ht="12.75" customHeight="1">
      <c r="A37" s="2"/>
      <c r="B37" s="2"/>
      <c r="C37" s="2"/>
      <c r="D37" s="5"/>
      <c r="E37" s="15"/>
      <c r="F37" s="5"/>
      <c r="G37" s="5"/>
      <c r="H37" s="2"/>
      <c r="I37" s="2"/>
      <c r="J37" s="2"/>
    </row>
    <row r="38" spans="1:10" s="4" customFormat="1" ht="12.75" customHeight="1">
      <c r="A38" s="2"/>
      <c r="B38" s="2"/>
      <c r="C38" s="2"/>
      <c r="D38" s="5"/>
      <c r="E38" s="15"/>
      <c r="F38" s="5"/>
      <c r="G38" s="5"/>
      <c r="H38" s="2"/>
      <c r="I38" s="2"/>
      <c r="J38" s="2"/>
    </row>
    <row r="39" spans="1:10" s="4" customFormat="1" ht="12.75" customHeight="1">
      <c r="A39" s="2"/>
      <c r="B39" s="2"/>
      <c r="C39" s="2"/>
      <c r="D39" s="5"/>
      <c r="E39" s="15"/>
      <c r="F39" s="5"/>
      <c r="G39" s="5"/>
      <c r="H39" s="2"/>
      <c r="I39" s="2"/>
      <c r="J39" s="2"/>
    </row>
    <row r="40" spans="1:10" s="4" customFormat="1" ht="12.75" customHeight="1">
      <c r="A40" s="2"/>
      <c r="B40" s="2"/>
      <c r="C40" s="2"/>
      <c r="D40" s="5"/>
      <c r="E40" s="15"/>
      <c r="F40" s="5"/>
      <c r="G40" s="5"/>
      <c r="H40" s="2"/>
      <c r="I40" s="2"/>
      <c r="J40" s="2"/>
    </row>
    <row r="41" spans="1:10" s="4" customFormat="1" ht="12.75" customHeight="1">
      <c r="A41" s="2"/>
      <c r="B41" s="2"/>
      <c r="C41" s="2"/>
      <c r="D41" s="5"/>
      <c r="E41" s="15"/>
      <c r="F41" s="5"/>
      <c r="G41" s="5"/>
      <c r="H41" s="2"/>
      <c r="I41" s="2"/>
      <c r="J41" s="2"/>
    </row>
    <row r="42" spans="1:10" s="4" customFormat="1" ht="12.75" customHeight="1">
      <c r="A42" s="2"/>
      <c r="B42" s="2"/>
      <c r="C42" s="2"/>
      <c r="D42" s="5"/>
      <c r="E42" s="15"/>
      <c r="F42" s="5"/>
      <c r="G42" s="5"/>
      <c r="H42" s="2"/>
      <c r="I42" s="2"/>
      <c r="J42" s="2"/>
    </row>
    <row r="43" spans="1:10" s="4" customFormat="1" ht="12.75" customHeight="1">
      <c r="A43" s="2"/>
      <c r="B43" s="2"/>
      <c r="C43" s="2"/>
      <c r="D43" s="5"/>
      <c r="E43" s="15"/>
      <c r="F43" s="5"/>
      <c r="G43" s="5"/>
      <c r="H43" s="2"/>
      <c r="I43" s="2"/>
      <c r="J43" s="2"/>
    </row>
    <row r="44" spans="1:10" s="4" customFormat="1" ht="12.75" customHeight="1">
      <c r="A44" s="2"/>
      <c r="B44" s="2"/>
      <c r="C44" s="2"/>
      <c r="D44" s="5"/>
      <c r="E44" s="15"/>
      <c r="F44" s="5"/>
      <c r="G44" s="5"/>
      <c r="H44" s="2"/>
      <c r="I44" s="2"/>
      <c r="J44" s="2"/>
    </row>
    <row r="45" spans="1:10" s="4" customFormat="1" ht="12.75" customHeight="1">
      <c r="A45" s="2"/>
      <c r="B45" s="2"/>
      <c r="C45" s="2"/>
      <c r="D45" s="5"/>
      <c r="E45" s="15"/>
      <c r="F45" s="5"/>
      <c r="G45" s="5"/>
      <c r="H45" s="2"/>
      <c r="I45" s="2"/>
      <c r="J45" s="2"/>
    </row>
    <row r="46" spans="1:10" s="4" customFormat="1" ht="12.75" customHeight="1">
      <c r="A46" s="2"/>
      <c r="B46" s="2"/>
      <c r="C46" s="2"/>
      <c r="D46" s="5"/>
      <c r="E46" s="15"/>
      <c r="F46" s="5"/>
      <c r="G46" s="5"/>
      <c r="H46" s="2"/>
      <c r="I46" s="2"/>
      <c r="J46" s="2"/>
    </row>
    <row r="47" spans="1:10" s="4" customFormat="1" ht="12.75" customHeight="1">
      <c r="A47" s="2"/>
      <c r="B47" s="2"/>
      <c r="C47" s="2"/>
      <c r="D47" s="5"/>
      <c r="E47" s="15"/>
      <c r="F47" s="5"/>
      <c r="G47" s="5"/>
      <c r="H47" s="2"/>
      <c r="I47" s="2"/>
      <c r="J47" s="2"/>
    </row>
    <row r="48" spans="1:10" s="4" customFormat="1" ht="12.75" customHeight="1">
      <c r="A48" s="2"/>
      <c r="B48" s="2"/>
      <c r="C48" s="2"/>
      <c r="D48" s="5"/>
      <c r="E48" s="15"/>
      <c r="F48" s="5"/>
      <c r="G48" s="5"/>
      <c r="H48" s="2"/>
      <c r="I48" s="2"/>
      <c r="J48" s="2"/>
    </row>
    <row r="49" spans="1:10" s="4" customFormat="1" ht="12.75" customHeight="1">
      <c r="A49" s="2"/>
      <c r="B49" s="2"/>
      <c r="C49" s="2"/>
      <c r="D49" s="5"/>
      <c r="E49" s="15"/>
      <c r="F49" s="5"/>
      <c r="G49" s="5"/>
      <c r="H49" s="2"/>
      <c r="I49" s="2"/>
      <c r="J49" s="2"/>
    </row>
    <row r="50" spans="1:10" s="4" customFormat="1" ht="12.75" customHeight="1">
      <c r="A50" s="2"/>
      <c r="B50" s="2"/>
      <c r="C50" s="2"/>
      <c r="D50" s="5"/>
      <c r="E50" s="15"/>
      <c r="F50" s="5"/>
      <c r="G50" s="5"/>
      <c r="H50" s="2"/>
      <c r="I50" s="2"/>
      <c r="J50" s="2"/>
    </row>
    <row r="51" spans="1:10" s="4" customFormat="1" ht="12.75" customHeight="1">
      <c r="A51" s="2"/>
      <c r="B51" s="2"/>
      <c r="C51" s="2"/>
      <c r="D51" s="5"/>
      <c r="E51" s="15"/>
      <c r="F51" s="5"/>
      <c r="G51" s="5"/>
      <c r="H51" s="2"/>
      <c r="I51" s="2"/>
      <c r="J51" s="2"/>
    </row>
    <row r="52" spans="1:10" s="4" customFormat="1" ht="12.75" customHeight="1">
      <c r="A52" s="2"/>
      <c r="B52" s="2"/>
      <c r="C52" s="2"/>
      <c r="D52" s="5"/>
      <c r="E52" s="15"/>
      <c r="F52" s="5"/>
      <c r="G52" s="5"/>
      <c r="H52" s="2"/>
      <c r="I52" s="2"/>
      <c r="J52" s="2"/>
    </row>
    <row r="53" spans="1:10" s="4" customFormat="1" ht="12.75" customHeight="1">
      <c r="A53" s="2"/>
      <c r="B53" s="2"/>
      <c r="C53" s="2"/>
      <c r="D53" s="5"/>
      <c r="E53" s="15"/>
      <c r="F53" s="5"/>
      <c r="G53" s="5"/>
      <c r="H53" s="2"/>
      <c r="I53" s="2"/>
      <c r="J53" s="2"/>
    </row>
    <row r="54" spans="1:10" s="4" customFormat="1" ht="12.75" customHeight="1">
      <c r="A54" s="2"/>
      <c r="B54" s="2"/>
      <c r="C54" s="2"/>
      <c r="D54" s="5"/>
      <c r="E54" s="15"/>
      <c r="F54" s="5"/>
      <c r="G54" s="5"/>
      <c r="H54" s="2"/>
      <c r="I54" s="2"/>
      <c r="J54" s="2"/>
    </row>
    <row r="55" spans="1:10" s="4" customFormat="1" ht="12.75" customHeight="1">
      <c r="A55" s="2"/>
      <c r="B55" s="2"/>
      <c r="C55" s="2"/>
      <c r="D55" s="5"/>
      <c r="E55" s="15"/>
      <c r="F55" s="5"/>
      <c r="G55" s="5"/>
      <c r="H55" s="2"/>
      <c r="I55" s="2"/>
      <c r="J55" s="2"/>
    </row>
    <row r="56" spans="1:10" s="4" customFormat="1" ht="12.75" customHeight="1">
      <c r="A56" s="2"/>
      <c r="B56" s="2"/>
      <c r="C56" s="2"/>
      <c r="D56" s="5"/>
      <c r="E56" s="15"/>
      <c r="F56" s="5"/>
      <c r="G56" s="5"/>
      <c r="H56" s="2"/>
      <c r="I56" s="2"/>
      <c r="J56" s="2"/>
    </row>
    <row r="57" spans="1:10" s="4" customFormat="1" ht="12.75" customHeight="1">
      <c r="A57" s="2"/>
      <c r="B57" s="2"/>
      <c r="C57" s="2"/>
      <c r="D57" s="5"/>
      <c r="E57" s="15"/>
      <c r="F57" s="5"/>
      <c r="G57" s="5"/>
      <c r="H57" s="2"/>
      <c r="I57" s="2"/>
      <c r="J57" s="2"/>
    </row>
    <row r="58" spans="1:10" s="4" customFormat="1" ht="12.75" customHeight="1">
      <c r="A58" s="2"/>
      <c r="B58" s="2"/>
      <c r="C58" s="2"/>
      <c r="D58" s="5"/>
      <c r="E58" s="15"/>
      <c r="F58" s="5"/>
      <c r="G58" s="5"/>
      <c r="H58" s="2"/>
      <c r="I58" s="2"/>
      <c r="J58" s="2"/>
    </row>
    <row r="59" spans="1:10" s="4" customFormat="1" ht="12.75" customHeight="1">
      <c r="A59" s="2"/>
      <c r="B59" s="2"/>
      <c r="C59" s="2"/>
      <c r="D59" s="5"/>
      <c r="E59" s="15"/>
      <c r="F59" s="5"/>
      <c r="G59" s="5"/>
      <c r="H59" s="2"/>
      <c r="I59" s="2"/>
      <c r="J59" s="2"/>
    </row>
    <row r="60" spans="1:10" s="4" customFormat="1" ht="12.75" customHeight="1">
      <c r="A60" s="2"/>
      <c r="B60" s="2"/>
      <c r="C60" s="2"/>
      <c r="D60" s="5"/>
      <c r="E60" s="15"/>
      <c r="F60" s="5"/>
      <c r="G60" s="5"/>
      <c r="H60" s="2"/>
      <c r="I60" s="2"/>
      <c r="J60" s="2"/>
    </row>
    <row r="61" spans="1:10" s="4" customFormat="1" ht="12.75" customHeight="1">
      <c r="A61" s="2"/>
      <c r="B61" s="2"/>
      <c r="C61" s="2"/>
      <c r="D61" s="5"/>
      <c r="E61" s="15"/>
      <c r="F61" s="5"/>
      <c r="G61" s="5"/>
      <c r="H61" s="2"/>
      <c r="I61" s="2"/>
      <c r="J61" s="2"/>
    </row>
    <row r="62" spans="1:10" s="4" customFormat="1" ht="12.75" customHeight="1">
      <c r="A62" s="2"/>
      <c r="B62" s="2"/>
      <c r="C62" s="2"/>
      <c r="D62" s="5"/>
      <c r="E62" s="15"/>
      <c r="F62" s="5"/>
      <c r="G62" s="5"/>
      <c r="H62" s="2"/>
      <c r="I62" s="2"/>
      <c r="J62" s="2"/>
    </row>
    <row r="63" spans="1:10" s="4" customFormat="1" ht="12.75" customHeight="1">
      <c r="A63" s="2"/>
      <c r="B63" s="2"/>
      <c r="C63" s="2"/>
      <c r="D63" s="5"/>
      <c r="E63" s="15"/>
      <c r="F63" s="5"/>
      <c r="G63" s="5"/>
      <c r="H63" s="2"/>
      <c r="I63" s="2"/>
      <c r="J63" s="2"/>
    </row>
    <row r="64" spans="1:10" s="4" customFormat="1" ht="12.75" customHeight="1">
      <c r="A64" s="2"/>
      <c r="B64" s="2"/>
      <c r="C64" s="2"/>
      <c r="D64" s="5"/>
      <c r="E64" s="15"/>
      <c r="F64" s="5"/>
      <c r="G64" s="5"/>
      <c r="H64" s="2"/>
      <c r="I64" s="2"/>
      <c r="J64" s="2"/>
    </row>
    <row r="65" spans="1:10" s="4" customFormat="1" ht="12.75" customHeight="1">
      <c r="A65" s="2"/>
      <c r="B65" s="2"/>
      <c r="C65" s="2"/>
      <c r="D65" s="5"/>
      <c r="E65" s="15"/>
      <c r="F65" s="5"/>
      <c r="G65" s="5"/>
      <c r="H65" s="2"/>
      <c r="I65" s="2"/>
      <c r="J65" s="2"/>
    </row>
    <row r="66" spans="1:10" s="4" customFormat="1" ht="12.75" customHeight="1">
      <c r="A66" s="2"/>
      <c r="B66" s="2"/>
      <c r="C66" s="2"/>
      <c r="D66" s="5"/>
      <c r="E66" s="15"/>
      <c r="F66" s="5"/>
      <c r="G66" s="5"/>
      <c r="H66" s="2"/>
      <c r="I66" s="2"/>
      <c r="J66" s="2"/>
    </row>
    <row r="67" spans="1:10" s="4" customFormat="1" ht="12.75" customHeight="1">
      <c r="A67" s="2"/>
      <c r="B67" s="2"/>
      <c r="C67" s="2"/>
      <c r="D67" s="5"/>
      <c r="E67" s="15"/>
      <c r="F67" s="5"/>
      <c r="G67" s="5"/>
      <c r="H67" s="2"/>
      <c r="I67" s="2"/>
      <c r="J67" s="2"/>
    </row>
    <row r="68" spans="1:10" s="4" customFormat="1" ht="12.75" customHeight="1">
      <c r="A68" s="2"/>
      <c r="B68" s="2"/>
      <c r="C68" s="2"/>
      <c r="D68" s="5"/>
      <c r="E68" s="15"/>
      <c r="F68" s="5"/>
      <c r="G68" s="5"/>
      <c r="H68" s="2"/>
      <c r="I68" s="2"/>
      <c r="J68" s="2"/>
    </row>
    <row r="69" spans="1:10" s="4" customFormat="1" ht="12.75" customHeight="1">
      <c r="A69" s="2"/>
      <c r="B69" s="2"/>
      <c r="C69" s="2"/>
      <c r="D69" s="5"/>
      <c r="E69" s="15"/>
      <c r="F69" s="5"/>
      <c r="G69" s="5"/>
      <c r="H69" s="2"/>
      <c r="I69" s="2"/>
      <c r="J69" s="2"/>
    </row>
    <row r="70" spans="1:10" s="4" customFormat="1" ht="12.75" customHeight="1">
      <c r="A70" s="2"/>
      <c r="B70" s="2"/>
      <c r="C70" s="2"/>
      <c r="D70" s="5"/>
      <c r="E70" s="15"/>
      <c r="F70" s="5"/>
      <c r="G70" s="5"/>
      <c r="H70" s="2"/>
      <c r="I70" s="2"/>
      <c r="J70" s="2"/>
    </row>
    <row r="71" spans="1:10" s="4" customFormat="1" ht="12.75" customHeight="1">
      <c r="A71" s="2"/>
      <c r="B71" s="2"/>
      <c r="C71" s="2"/>
      <c r="D71" s="5"/>
      <c r="E71" s="15"/>
      <c r="F71" s="5"/>
      <c r="G71" s="5"/>
      <c r="H71" s="2"/>
      <c r="I71" s="2"/>
      <c r="J71" s="2"/>
    </row>
    <row r="72" spans="1:10" s="4" customFormat="1" ht="12.75" customHeight="1">
      <c r="A72" s="2"/>
      <c r="B72" s="2"/>
      <c r="C72" s="2"/>
      <c r="D72" s="5"/>
      <c r="E72" s="15"/>
      <c r="F72" s="5"/>
      <c r="G72" s="5"/>
      <c r="H72" s="2"/>
      <c r="I72" s="2"/>
      <c r="J72" s="2"/>
    </row>
    <row r="73" spans="1:10" s="4" customFormat="1" ht="12.75" customHeight="1">
      <c r="A73" s="2"/>
      <c r="B73" s="2"/>
      <c r="C73" s="2"/>
      <c r="D73" s="5"/>
      <c r="E73" s="15"/>
      <c r="F73" s="5"/>
      <c r="G73" s="5"/>
      <c r="H73" s="2"/>
      <c r="I73" s="2"/>
      <c r="J73" s="2"/>
    </row>
    <row r="74" spans="1:10" s="4" customFormat="1" ht="12.75" customHeight="1">
      <c r="A74" s="2"/>
      <c r="B74" s="2"/>
      <c r="C74" s="2"/>
      <c r="D74" s="5"/>
      <c r="E74" s="15"/>
      <c r="F74" s="5"/>
      <c r="G74" s="5"/>
      <c r="H74" s="2"/>
      <c r="I74" s="2"/>
      <c r="J74" s="2"/>
    </row>
    <row r="75" spans="1:10" s="4" customFormat="1" ht="12.75" customHeight="1">
      <c r="A75" s="2"/>
      <c r="B75" s="2"/>
      <c r="C75" s="2"/>
      <c r="D75" s="5"/>
      <c r="E75" s="15"/>
      <c r="F75" s="5"/>
      <c r="G75" s="5"/>
      <c r="H75" s="2"/>
      <c r="I75" s="2"/>
      <c r="J75" s="2"/>
    </row>
    <row r="76" spans="1:10" s="4" customFormat="1" ht="12.75" customHeight="1">
      <c r="A76" s="2"/>
      <c r="B76" s="2"/>
      <c r="C76" s="2"/>
      <c r="D76" s="5"/>
      <c r="E76" s="15"/>
      <c r="F76" s="5"/>
      <c r="G76" s="5"/>
      <c r="H76" s="2"/>
      <c r="I76" s="2"/>
      <c r="J76" s="2"/>
    </row>
    <row r="77" spans="1:10" s="4" customFormat="1" ht="12.75" customHeight="1">
      <c r="A77" s="2"/>
      <c r="B77" s="2"/>
      <c r="C77" s="2"/>
      <c r="D77" s="5"/>
      <c r="E77" s="15"/>
      <c r="F77" s="5"/>
      <c r="G77" s="5"/>
      <c r="H77" s="2"/>
      <c r="I77" s="2"/>
      <c r="J77" s="2"/>
    </row>
    <row r="78" spans="1:10" s="4" customFormat="1" ht="12.75" customHeight="1">
      <c r="A78" s="2"/>
      <c r="B78" s="2"/>
      <c r="C78" s="2"/>
      <c r="D78" s="5"/>
      <c r="E78" s="15"/>
      <c r="F78" s="5"/>
      <c r="G78" s="5"/>
      <c r="H78" s="2"/>
      <c r="I78" s="2"/>
      <c r="J78" s="2"/>
    </row>
    <row r="79" spans="1:10" s="4" customFormat="1" ht="12.75" customHeight="1">
      <c r="A79" s="2"/>
      <c r="B79" s="2"/>
      <c r="C79" s="2"/>
      <c r="D79" s="5"/>
      <c r="E79" s="15"/>
      <c r="F79" s="5"/>
      <c r="G79" s="5"/>
      <c r="H79" s="2"/>
      <c r="I79" s="2"/>
      <c r="J79" s="2"/>
    </row>
    <row r="80" spans="1:10" s="4" customFormat="1" ht="12.75" customHeight="1">
      <c r="A80" s="2"/>
      <c r="B80" s="2"/>
      <c r="C80" s="2"/>
      <c r="D80" s="5"/>
      <c r="E80" s="15"/>
      <c r="F80" s="5"/>
      <c r="G80" s="5"/>
      <c r="H80" s="2"/>
      <c r="I80" s="2"/>
      <c r="J80" s="2"/>
    </row>
    <row r="81" spans="1:10" s="4" customFormat="1" ht="12.75" customHeight="1">
      <c r="A81" s="2"/>
      <c r="B81" s="2"/>
      <c r="C81" s="2"/>
      <c r="D81" s="5"/>
      <c r="E81" s="15"/>
      <c r="F81" s="5"/>
      <c r="G81" s="5"/>
      <c r="H81" s="2"/>
      <c r="I81" s="2"/>
      <c r="J81" s="2"/>
    </row>
    <row r="82" spans="1:10" s="4" customFormat="1" ht="12.75" customHeight="1">
      <c r="A82" s="2"/>
      <c r="B82" s="2"/>
      <c r="C82" s="2"/>
      <c r="D82" s="5"/>
      <c r="E82" s="15"/>
      <c r="F82" s="5"/>
      <c r="G82" s="5"/>
      <c r="H82" s="2"/>
      <c r="I82" s="2"/>
      <c r="J82" s="2"/>
    </row>
    <row r="83" spans="1:10" s="4" customFormat="1" ht="12.75" customHeight="1">
      <c r="A83" s="2"/>
      <c r="B83" s="2"/>
      <c r="C83" s="2"/>
      <c r="D83" s="5"/>
      <c r="E83" s="15"/>
      <c r="F83" s="5"/>
      <c r="G83" s="5"/>
      <c r="H83" s="2"/>
      <c r="I83" s="2"/>
      <c r="J83" s="2"/>
    </row>
    <row r="84" spans="1:10" s="4" customFormat="1" ht="12.75" customHeight="1">
      <c r="A84" s="2"/>
      <c r="B84" s="2"/>
      <c r="C84" s="2"/>
      <c r="D84" s="5"/>
      <c r="E84" s="15"/>
      <c r="F84" s="5"/>
      <c r="G84" s="5"/>
      <c r="H84" s="2"/>
      <c r="I84" s="2"/>
      <c r="J84" s="2"/>
    </row>
    <row r="85" spans="1:10" s="4" customFormat="1" ht="12.75" customHeight="1">
      <c r="A85" s="2"/>
      <c r="B85" s="2"/>
      <c r="C85" s="2"/>
      <c r="D85" s="5"/>
      <c r="E85" s="15"/>
      <c r="F85" s="5"/>
      <c r="G85" s="5"/>
      <c r="H85" s="2"/>
      <c r="I85" s="2"/>
      <c r="J85" s="2"/>
    </row>
    <row r="86" spans="1:10" s="4" customFormat="1" ht="12.75" customHeight="1">
      <c r="A86" s="2"/>
      <c r="B86" s="2"/>
      <c r="C86" s="2"/>
      <c r="D86" s="5"/>
      <c r="E86" s="15"/>
      <c r="F86" s="5"/>
      <c r="G86" s="5"/>
      <c r="H86" s="2"/>
      <c r="I86" s="2"/>
      <c r="J86" s="2"/>
    </row>
    <row r="87" spans="1:10" s="4" customFormat="1" ht="12.75" customHeight="1">
      <c r="A87" s="2"/>
      <c r="B87" s="2"/>
      <c r="C87" s="2"/>
      <c r="D87" s="5"/>
      <c r="E87" s="15"/>
      <c r="F87" s="5"/>
      <c r="G87" s="5"/>
      <c r="H87" s="2"/>
      <c r="I87" s="2"/>
      <c r="J87" s="2"/>
    </row>
    <row r="88" spans="1:10" s="4" customFormat="1" ht="12.75" customHeight="1">
      <c r="A88" s="2"/>
      <c r="B88" s="2"/>
      <c r="C88" s="2"/>
      <c r="D88" s="5"/>
      <c r="E88" s="15"/>
      <c r="F88" s="5"/>
      <c r="G88" s="5"/>
      <c r="H88" s="2"/>
      <c r="I88" s="2"/>
      <c r="J88" s="2"/>
    </row>
    <row r="89" spans="1:10" s="4" customFormat="1" ht="12.75" customHeight="1">
      <c r="A89" s="2"/>
      <c r="B89" s="2"/>
      <c r="C89" s="2"/>
      <c r="D89" s="5"/>
      <c r="E89" s="15"/>
      <c r="F89" s="5"/>
      <c r="G89" s="5"/>
      <c r="H89" s="2"/>
      <c r="I89" s="2"/>
      <c r="J89" s="2"/>
    </row>
    <row r="90" spans="1:10" s="4" customFormat="1" ht="12.75" customHeight="1">
      <c r="A90" s="2"/>
      <c r="B90" s="2"/>
      <c r="C90" s="2"/>
      <c r="D90" s="5"/>
      <c r="E90" s="15"/>
      <c r="F90" s="5"/>
      <c r="G90" s="5"/>
      <c r="H90" s="2"/>
      <c r="I90" s="2"/>
      <c r="J90" s="2"/>
    </row>
    <row r="91" spans="1:10" s="4" customFormat="1" ht="12.75" customHeight="1">
      <c r="A91" s="2"/>
      <c r="B91" s="2"/>
      <c r="C91" s="2"/>
      <c r="D91" s="5"/>
      <c r="E91" s="15"/>
      <c r="F91" s="5"/>
      <c r="G91" s="5"/>
      <c r="H91" s="2"/>
      <c r="I91" s="2"/>
      <c r="J91" s="2"/>
    </row>
    <row r="92" spans="1:10" s="4" customFormat="1" ht="12.75" customHeight="1">
      <c r="A92" s="2"/>
      <c r="B92" s="2"/>
      <c r="C92" s="2"/>
      <c r="D92" s="5"/>
      <c r="E92" s="15"/>
      <c r="F92" s="5"/>
      <c r="G92" s="5"/>
      <c r="H92" s="2"/>
      <c r="I92" s="2"/>
      <c r="J92" s="2"/>
    </row>
    <row r="93" spans="1:10" s="4" customFormat="1" ht="12.75" customHeight="1">
      <c r="A93" s="2"/>
      <c r="B93" s="2"/>
      <c r="C93" s="2"/>
      <c r="D93" s="5"/>
      <c r="E93" s="15"/>
      <c r="F93" s="5"/>
      <c r="G93" s="5"/>
      <c r="H93" s="2"/>
      <c r="I93" s="2"/>
      <c r="J93" s="2"/>
    </row>
    <row r="94" spans="1:10" s="4" customFormat="1" ht="12.75" customHeight="1">
      <c r="A94" s="2"/>
      <c r="B94" s="2"/>
      <c r="C94" s="2"/>
      <c r="D94" s="5"/>
      <c r="E94" s="15"/>
      <c r="F94" s="5"/>
      <c r="G94" s="5"/>
      <c r="H94" s="2"/>
      <c r="I94" s="2"/>
      <c r="J94" s="2"/>
    </row>
    <row r="95" spans="1:10" s="4" customFormat="1" ht="12.75" customHeight="1">
      <c r="A95" s="2"/>
      <c r="B95" s="2"/>
      <c r="C95" s="2"/>
      <c r="D95" s="5"/>
      <c r="E95" s="15"/>
      <c r="F95" s="5"/>
      <c r="G95" s="5"/>
      <c r="H95" s="2"/>
      <c r="I95" s="2"/>
      <c r="J95" s="2"/>
    </row>
    <row r="96" spans="1:10" s="4" customFormat="1" ht="12.75" customHeight="1">
      <c r="A96" s="2"/>
      <c r="B96" s="2"/>
      <c r="C96" s="2"/>
      <c r="D96" s="5"/>
      <c r="E96" s="15"/>
      <c r="F96" s="5"/>
      <c r="G96" s="5"/>
      <c r="H96" s="2"/>
      <c r="I96" s="2"/>
      <c r="J96" s="2"/>
    </row>
    <row r="97" spans="1:10" s="4" customFormat="1" ht="12.75" customHeight="1">
      <c r="A97" s="2"/>
      <c r="B97" s="2"/>
      <c r="C97" s="2"/>
      <c r="D97" s="5"/>
      <c r="E97" s="15"/>
      <c r="F97" s="5"/>
      <c r="G97" s="5"/>
      <c r="H97" s="2"/>
      <c r="I97" s="2"/>
      <c r="J97" s="2"/>
    </row>
    <row r="98" spans="1:10" s="4" customFormat="1" ht="12.75" customHeight="1">
      <c r="A98" s="2"/>
      <c r="B98" s="2"/>
      <c r="C98" s="2"/>
      <c r="D98" s="5"/>
      <c r="E98" s="15"/>
      <c r="F98" s="5"/>
      <c r="G98" s="5"/>
      <c r="H98" s="2"/>
      <c r="I98" s="2"/>
      <c r="J98" s="2"/>
    </row>
    <row r="99" spans="1:10" s="4" customFormat="1" ht="12.75" customHeight="1">
      <c r="A99" s="2"/>
      <c r="B99" s="2"/>
      <c r="C99" s="2"/>
      <c r="D99" s="5"/>
      <c r="E99" s="15"/>
      <c r="F99" s="5"/>
      <c r="G99" s="5"/>
      <c r="H99" s="2"/>
      <c r="I99" s="2"/>
      <c r="J99" s="2"/>
    </row>
    <row r="100" spans="1:10" s="4" customFormat="1" ht="12.75" customHeight="1">
      <c r="A100" s="2"/>
      <c r="B100" s="2"/>
      <c r="C100" s="2"/>
      <c r="D100" s="5"/>
      <c r="E100" s="15"/>
      <c r="F100" s="5"/>
      <c r="G100" s="5"/>
      <c r="H100" s="2"/>
      <c r="I100" s="2"/>
      <c r="J100" s="2"/>
    </row>
  </sheetData>
  <phoneticPr fontId="0" type="noConversion"/>
  <printOptions horizontalCentered="1"/>
  <pageMargins left="0.25" right="0.25" top="1.18" bottom="1" header="0.5" footer="0.5"/>
  <pageSetup scale="75" orientation="landscape" r:id="rId1"/>
  <headerFooter alignWithMargins="0">
    <oddHeader>&amp;A</oddHeader>
    <oddFooter>Page &amp;P of &amp;N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J99"/>
  <sheetViews>
    <sheetView showGridLines="0" workbookViewId="0">
      <pane ySplit="1" topLeftCell="A2" activePane="bottomLeft" state="frozen"/>
      <selection pane="bottomLeft" activeCell="B3" sqref="B3"/>
    </sheetView>
  </sheetViews>
  <sheetFormatPr defaultRowHeight="12.75" customHeight="1"/>
  <cols>
    <col min="1" max="1" width="15" style="4" customWidth="1"/>
    <col min="2" max="2" width="13.42578125" style="4" customWidth="1"/>
    <col min="3" max="3" width="10.5703125" style="4" customWidth="1"/>
    <col min="4" max="4" width="15.7109375" style="5" customWidth="1"/>
    <col min="5" max="5" width="19" style="6" customWidth="1"/>
    <col min="6" max="6" width="20.7109375" style="5" customWidth="1"/>
    <col min="7" max="7" width="25.7109375" style="5" customWidth="1"/>
    <col min="8" max="8" width="22.42578125" style="4" customWidth="1"/>
    <col min="9" max="9" width="10.7109375" style="4" customWidth="1"/>
    <col min="10" max="10" width="7.42578125" style="4" customWidth="1"/>
    <col min="11" max="16384" width="9.140625" style="4"/>
  </cols>
  <sheetData>
    <row r="1" spans="1:10" ht="86.25">
      <c r="A1" s="17" t="s">
        <v>0</v>
      </c>
      <c r="B1" s="18" t="s">
        <v>2</v>
      </c>
      <c r="C1" s="19" t="s">
        <v>3</v>
      </c>
      <c r="D1" s="20" t="s">
        <v>6</v>
      </c>
      <c r="E1" s="23" t="s">
        <v>7</v>
      </c>
      <c r="F1" s="20" t="s">
        <v>8</v>
      </c>
      <c r="G1" s="20" t="s">
        <v>9</v>
      </c>
      <c r="H1" s="18" t="s">
        <v>10</v>
      </c>
      <c r="I1" s="18" t="s">
        <v>11</v>
      </c>
      <c r="J1" s="24" t="s">
        <v>4</v>
      </c>
    </row>
    <row r="2" spans="1:10" ht="12.75" customHeight="1">
      <c r="A2" s="35">
        <v>5000</v>
      </c>
      <c r="B2" s="39">
        <v>39105</v>
      </c>
      <c r="C2" s="72">
        <v>4</v>
      </c>
      <c r="D2" s="62" t="s">
        <v>36</v>
      </c>
      <c r="E2" s="38">
        <v>35.6</v>
      </c>
      <c r="F2" s="33" t="s">
        <v>36</v>
      </c>
      <c r="G2" s="33" t="s">
        <v>21</v>
      </c>
      <c r="H2" s="37" t="s">
        <v>22</v>
      </c>
      <c r="I2" s="39">
        <v>39105</v>
      </c>
      <c r="J2" s="68" t="str">
        <f>TEXT([Invoice Date],"mmm-yy")</f>
        <v>Jan-07</v>
      </c>
    </row>
    <row r="3" spans="1:10" ht="12.75" customHeight="1">
      <c r="A3" s="50">
        <v>5000</v>
      </c>
      <c r="B3" s="57"/>
      <c r="C3" s="63"/>
      <c r="D3" s="56"/>
      <c r="E3" s="54"/>
      <c r="F3" s="56"/>
      <c r="G3" s="56"/>
      <c r="H3" s="52"/>
      <c r="I3" s="57"/>
      <c r="J3" s="69" t="str">
        <f>TEXT([Invoice Date],"mmm-yy")</f>
        <v>Jan-00</v>
      </c>
    </row>
    <row r="4" spans="1:10" ht="12.75" customHeight="1">
      <c r="A4" s="83" t="s">
        <v>1</v>
      </c>
      <c r="B4" s="84"/>
      <c r="C4" s="93"/>
      <c r="D4" s="92"/>
      <c r="E4" s="87">
        <f>SUBTOTAL(109,[Amount of Check])</f>
        <v>35.6</v>
      </c>
      <c r="F4" s="92"/>
      <c r="G4" s="92"/>
      <c r="H4" s="84"/>
      <c r="I4" s="84"/>
      <c r="J4" s="90"/>
    </row>
    <row r="17" spans="4:7" ht="12.75" customHeight="1">
      <c r="D17" s="4"/>
      <c r="E17" s="4"/>
      <c r="F17" s="4"/>
      <c r="G17" s="4"/>
    </row>
    <row r="18" spans="4:7" ht="12.75" customHeight="1">
      <c r="D18" s="4"/>
      <c r="E18" s="4"/>
      <c r="F18" s="4"/>
      <c r="G18" s="4"/>
    </row>
    <row r="19" spans="4:7" ht="12.75" customHeight="1">
      <c r="D19" s="4"/>
      <c r="E19" s="4"/>
      <c r="F19" s="4"/>
      <c r="G19" s="4"/>
    </row>
    <row r="20" spans="4:7" ht="12.75" customHeight="1">
      <c r="D20" s="4"/>
      <c r="E20" s="4"/>
      <c r="F20" s="4"/>
      <c r="G20" s="4"/>
    </row>
    <row r="21" spans="4:7" ht="12.75" customHeight="1">
      <c r="D21" s="4"/>
      <c r="E21" s="4"/>
      <c r="F21" s="4"/>
      <c r="G21" s="4"/>
    </row>
    <row r="22" spans="4:7" ht="12.75" customHeight="1">
      <c r="D22" s="4"/>
      <c r="E22" s="4"/>
      <c r="F22" s="4"/>
      <c r="G22" s="4"/>
    </row>
    <row r="23" spans="4:7" ht="12.75" customHeight="1">
      <c r="D23" s="4"/>
      <c r="E23" s="4"/>
      <c r="F23" s="4"/>
      <c r="G23" s="4"/>
    </row>
    <row r="24" spans="4:7" ht="12.75" customHeight="1">
      <c r="D24" s="4"/>
      <c r="E24" s="4"/>
      <c r="F24" s="4"/>
      <c r="G24" s="4"/>
    </row>
    <row r="25" spans="4:7" ht="12.75" customHeight="1">
      <c r="D25" s="4"/>
      <c r="E25" s="4"/>
      <c r="F25" s="4"/>
      <c r="G25" s="4"/>
    </row>
    <row r="26" spans="4:7" ht="12.75" customHeight="1">
      <c r="D26" s="4"/>
      <c r="E26" s="4"/>
      <c r="F26" s="4"/>
      <c r="G26" s="4"/>
    </row>
    <row r="27" spans="4:7" ht="12.75" customHeight="1">
      <c r="D27" s="4"/>
      <c r="E27" s="4"/>
      <c r="F27" s="4"/>
      <c r="G27" s="4"/>
    </row>
    <row r="28" spans="4:7" ht="12.75" customHeight="1">
      <c r="D28" s="4"/>
      <c r="E28" s="4"/>
      <c r="F28" s="4"/>
      <c r="G28" s="4"/>
    </row>
    <row r="29" spans="4:7" ht="12.75" customHeight="1">
      <c r="D29" s="4"/>
      <c r="E29" s="4"/>
      <c r="F29" s="4"/>
      <c r="G29" s="4"/>
    </row>
    <row r="30" spans="4:7" ht="12.75" customHeight="1">
      <c r="D30" s="4"/>
      <c r="E30" s="4"/>
      <c r="F30" s="4"/>
      <c r="G30" s="4"/>
    </row>
    <row r="31" spans="4:7" ht="12.75" customHeight="1">
      <c r="D31" s="4"/>
      <c r="E31" s="4"/>
      <c r="F31" s="4"/>
      <c r="G31" s="4"/>
    </row>
    <row r="32" spans="4:7" ht="12.75" customHeight="1">
      <c r="D32" s="4"/>
      <c r="E32" s="4"/>
      <c r="F32" s="4"/>
      <c r="G32" s="4"/>
    </row>
    <row r="33" spans="4:7" ht="12.75" customHeight="1">
      <c r="D33" s="4"/>
      <c r="E33" s="4"/>
      <c r="F33" s="4"/>
      <c r="G33" s="4"/>
    </row>
    <row r="34" spans="4:7" ht="12.75" customHeight="1">
      <c r="D34" s="4"/>
      <c r="E34" s="4"/>
      <c r="F34" s="4"/>
      <c r="G34" s="4"/>
    </row>
    <row r="35" spans="4:7" ht="12.75" customHeight="1">
      <c r="D35" s="4"/>
      <c r="E35" s="4"/>
      <c r="F35" s="4"/>
      <c r="G35" s="4"/>
    </row>
    <row r="36" spans="4:7" ht="12.75" customHeight="1">
      <c r="D36" s="4"/>
      <c r="E36" s="4"/>
      <c r="F36" s="4"/>
      <c r="G36" s="4"/>
    </row>
    <row r="37" spans="4:7" ht="12.75" customHeight="1">
      <c r="D37" s="4"/>
      <c r="E37" s="4"/>
      <c r="F37" s="4"/>
      <c r="G37" s="4"/>
    </row>
    <row r="38" spans="4:7" ht="12.75" customHeight="1">
      <c r="D38" s="4"/>
      <c r="E38" s="4"/>
      <c r="F38" s="4"/>
      <c r="G38" s="4"/>
    </row>
    <row r="39" spans="4:7" ht="12.75" customHeight="1">
      <c r="D39" s="4"/>
      <c r="E39" s="4"/>
      <c r="F39" s="4"/>
      <c r="G39" s="4"/>
    </row>
    <row r="40" spans="4:7" ht="12.75" customHeight="1">
      <c r="D40" s="4"/>
      <c r="E40" s="4"/>
      <c r="F40" s="4"/>
      <c r="G40" s="4"/>
    </row>
    <row r="41" spans="4:7" ht="12.75" customHeight="1">
      <c r="D41" s="4"/>
      <c r="E41" s="4"/>
      <c r="F41" s="4"/>
      <c r="G41" s="4"/>
    </row>
    <row r="42" spans="4:7" ht="12.75" customHeight="1">
      <c r="D42" s="4"/>
      <c r="E42" s="4"/>
      <c r="F42" s="4"/>
      <c r="G42" s="4"/>
    </row>
    <row r="43" spans="4:7" ht="12.75" customHeight="1">
      <c r="D43" s="4"/>
      <c r="E43" s="4"/>
      <c r="F43" s="4"/>
      <c r="G43" s="4"/>
    </row>
    <row r="44" spans="4:7" ht="12.75" customHeight="1">
      <c r="D44" s="4"/>
      <c r="E44" s="4"/>
      <c r="F44" s="4"/>
      <c r="G44" s="4"/>
    </row>
    <row r="45" spans="4:7" ht="12.75" customHeight="1">
      <c r="D45" s="4"/>
      <c r="E45" s="4"/>
      <c r="F45" s="4"/>
      <c r="G45" s="4"/>
    </row>
    <row r="46" spans="4:7" ht="12.75" customHeight="1">
      <c r="D46" s="4"/>
      <c r="E46" s="4"/>
      <c r="F46" s="4"/>
      <c r="G46" s="4"/>
    </row>
    <row r="47" spans="4:7" ht="12.75" customHeight="1">
      <c r="D47" s="4"/>
      <c r="E47" s="4"/>
      <c r="F47" s="4"/>
      <c r="G47" s="4"/>
    </row>
    <row r="48" spans="4:7" ht="12.75" customHeight="1">
      <c r="D48" s="4"/>
      <c r="E48" s="4"/>
      <c r="F48" s="4"/>
      <c r="G48" s="4"/>
    </row>
    <row r="49" spans="4:7" ht="12.75" customHeight="1">
      <c r="D49" s="4"/>
      <c r="E49" s="4"/>
      <c r="F49" s="4"/>
      <c r="G49" s="4"/>
    </row>
    <row r="50" spans="4:7" ht="12.75" customHeight="1">
      <c r="D50" s="4"/>
      <c r="E50" s="4"/>
      <c r="F50" s="4"/>
      <c r="G50" s="4"/>
    </row>
    <row r="51" spans="4:7" ht="12.75" customHeight="1">
      <c r="D51" s="4"/>
      <c r="E51" s="4"/>
      <c r="F51" s="4"/>
      <c r="G51" s="4"/>
    </row>
    <row r="52" spans="4:7" ht="12.75" customHeight="1">
      <c r="D52" s="4"/>
      <c r="E52" s="4"/>
      <c r="F52" s="4"/>
      <c r="G52" s="4"/>
    </row>
    <row r="53" spans="4:7" ht="12.75" customHeight="1">
      <c r="D53" s="4"/>
      <c r="E53" s="4"/>
      <c r="F53" s="4"/>
      <c r="G53" s="4"/>
    </row>
    <row r="54" spans="4:7" ht="12.75" customHeight="1">
      <c r="D54" s="4"/>
      <c r="E54" s="4"/>
      <c r="F54" s="4"/>
      <c r="G54" s="4"/>
    </row>
    <row r="55" spans="4:7" ht="12.75" customHeight="1">
      <c r="D55" s="4"/>
      <c r="E55" s="4"/>
      <c r="F55" s="4"/>
      <c r="G55" s="4"/>
    </row>
    <row r="56" spans="4:7" ht="12.75" customHeight="1">
      <c r="D56" s="4"/>
      <c r="E56" s="4"/>
      <c r="F56" s="4"/>
      <c r="G56" s="4"/>
    </row>
    <row r="57" spans="4:7" ht="12.75" customHeight="1">
      <c r="D57" s="4"/>
      <c r="E57" s="4"/>
      <c r="F57" s="4"/>
      <c r="G57" s="4"/>
    </row>
    <row r="58" spans="4:7" ht="12.75" customHeight="1">
      <c r="D58" s="4"/>
      <c r="E58" s="4"/>
      <c r="F58" s="4"/>
      <c r="G58" s="4"/>
    </row>
    <row r="59" spans="4:7" ht="12.75" customHeight="1">
      <c r="D59" s="4"/>
      <c r="E59" s="4"/>
      <c r="F59" s="4"/>
      <c r="G59" s="4"/>
    </row>
    <row r="60" spans="4:7" ht="12.75" customHeight="1">
      <c r="D60" s="4"/>
      <c r="E60" s="4"/>
      <c r="F60" s="4"/>
      <c r="G60" s="4"/>
    </row>
    <row r="61" spans="4:7" ht="12.75" customHeight="1">
      <c r="D61" s="4"/>
      <c r="E61" s="4"/>
      <c r="F61" s="4"/>
      <c r="G61" s="4"/>
    </row>
    <row r="62" spans="4:7" ht="12.75" customHeight="1">
      <c r="D62" s="4"/>
      <c r="E62" s="4"/>
      <c r="F62" s="4"/>
      <c r="G62" s="4"/>
    </row>
    <row r="63" spans="4:7" ht="12.75" customHeight="1">
      <c r="D63" s="4"/>
      <c r="E63" s="4"/>
      <c r="F63" s="4"/>
      <c r="G63" s="4"/>
    </row>
    <row r="64" spans="4:7" ht="12.75" customHeight="1">
      <c r="D64" s="4"/>
      <c r="E64" s="4"/>
      <c r="F64" s="4"/>
      <c r="G64" s="4"/>
    </row>
    <row r="65" spans="4:7" ht="12.75" customHeight="1">
      <c r="D65" s="4"/>
      <c r="E65" s="4"/>
      <c r="F65" s="4"/>
      <c r="G65" s="4"/>
    </row>
    <row r="66" spans="4:7" ht="12.75" customHeight="1">
      <c r="D66" s="4"/>
      <c r="E66" s="4"/>
      <c r="F66" s="4"/>
      <c r="G66" s="4"/>
    </row>
    <row r="67" spans="4:7" ht="12.75" customHeight="1">
      <c r="D67" s="4"/>
      <c r="E67" s="4"/>
      <c r="F67" s="4"/>
      <c r="G67" s="4"/>
    </row>
    <row r="68" spans="4:7" ht="12.75" customHeight="1">
      <c r="D68" s="4"/>
      <c r="E68" s="4"/>
      <c r="F68" s="4"/>
      <c r="G68" s="4"/>
    </row>
    <row r="69" spans="4:7" ht="12.75" customHeight="1">
      <c r="D69" s="4"/>
      <c r="E69" s="4"/>
      <c r="F69" s="4"/>
      <c r="G69" s="4"/>
    </row>
    <row r="70" spans="4:7" ht="12.75" customHeight="1">
      <c r="D70" s="4"/>
      <c r="E70" s="4"/>
      <c r="F70" s="4"/>
      <c r="G70" s="4"/>
    </row>
    <row r="71" spans="4:7" ht="12.75" customHeight="1">
      <c r="D71" s="4"/>
      <c r="E71" s="4"/>
      <c r="F71" s="4"/>
      <c r="G71" s="4"/>
    </row>
    <row r="72" spans="4:7" ht="12.75" customHeight="1">
      <c r="D72" s="4"/>
      <c r="E72" s="4"/>
      <c r="F72" s="4"/>
      <c r="G72" s="4"/>
    </row>
    <row r="73" spans="4:7" ht="12.75" customHeight="1">
      <c r="D73" s="4"/>
      <c r="E73" s="4"/>
      <c r="F73" s="4"/>
      <c r="G73" s="4"/>
    </row>
    <row r="74" spans="4:7" ht="12.75" customHeight="1">
      <c r="D74" s="4"/>
      <c r="E74" s="4"/>
      <c r="F74" s="4"/>
      <c r="G74" s="4"/>
    </row>
    <row r="75" spans="4:7" ht="12.75" customHeight="1">
      <c r="D75" s="4"/>
      <c r="E75" s="4"/>
      <c r="F75" s="4"/>
      <c r="G75" s="4"/>
    </row>
    <row r="76" spans="4:7" ht="12.75" customHeight="1">
      <c r="D76" s="4"/>
      <c r="E76" s="4"/>
      <c r="F76" s="4"/>
      <c r="G76" s="4"/>
    </row>
    <row r="77" spans="4:7" ht="12.75" customHeight="1">
      <c r="D77" s="4"/>
      <c r="E77" s="4"/>
      <c r="F77" s="4"/>
      <c r="G77" s="4"/>
    </row>
    <row r="78" spans="4:7" ht="12.75" customHeight="1">
      <c r="D78" s="4"/>
      <c r="E78" s="4"/>
      <c r="F78" s="4"/>
      <c r="G78" s="4"/>
    </row>
    <row r="79" spans="4:7" ht="12.75" customHeight="1">
      <c r="D79" s="4"/>
      <c r="E79" s="4"/>
      <c r="F79" s="4"/>
      <c r="G79" s="4"/>
    </row>
    <row r="80" spans="4:7" ht="12.75" customHeight="1">
      <c r="D80" s="4"/>
      <c r="E80" s="4"/>
      <c r="F80" s="4"/>
      <c r="G80" s="4"/>
    </row>
    <row r="81" spans="4:7" ht="12.75" customHeight="1">
      <c r="D81" s="4"/>
      <c r="E81" s="4"/>
      <c r="F81" s="4"/>
      <c r="G81" s="4"/>
    </row>
    <row r="82" spans="4:7" ht="12.75" customHeight="1">
      <c r="D82" s="4"/>
      <c r="E82" s="4"/>
      <c r="F82" s="4"/>
      <c r="G82" s="4"/>
    </row>
    <row r="83" spans="4:7" ht="12.75" customHeight="1">
      <c r="D83" s="4"/>
      <c r="E83" s="4"/>
      <c r="F83" s="4"/>
      <c r="G83" s="4"/>
    </row>
    <row r="84" spans="4:7" ht="12.75" customHeight="1">
      <c r="D84" s="4"/>
      <c r="E84" s="4"/>
      <c r="F84" s="4"/>
      <c r="G84" s="4"/>
    </row>
    <row r="85" spans="4:7" ht="12.75" customHeight="1">
      <c r="D85" s="4"/>
      <c r="E85" s="4"/>
      <c r="F85" s="4"/>
      <c r="G85" s="4"/>
    </row>
    <row r="86" spans="4:7" ht="12.75" customHeight="1">
      <c r="D86" s="4"/>
      <c r="E86" s="4"/>
      <c r="F86" s="4"/>
      <c r="G86" s="4"/>
    </row>
    <row r="87" spans="4:7" ht="12.75" customHeight="1">
      <c r="D87" s="4"/>
      <c r="E87" s="4"/>
      <c r="F87" s="4"/>
      <c r="G87" s="4"/>
    </row>
    <row r="88" spans="4:7" ht="12.75" customHeight="1">
      <c r="D88" s="4"/>
      <c r="E88" s="4"/>
      <c r="F88" s="4"/>
      <c r="G88" s="4"/>
    </row>
    <row r="89" spans="4:7" ht="12.75" customHeight="1">
      <c r="D89" s="4"/>
      <c r="E89" s="4"/>
      <c r="F89" s="4"/>
      <c r="G89" s="4"/>
    </row>
    <row r="90" spans="4:7" ht="12.75" customHeight="1">
      <c r="D90" s="4"/>
      <c r="E90" s="4"/>
      <c r="F90" s="4"/>
      <c r="G90" s="4"/>
    </row>
    <row r="91" spans="4:7" ht="12.75" customHeight="1">
      <c r="D91" s="4"/>
      <c r="E91" s="4"/>
      <c r="F91" s="4"/>
      <c r="G91" s="4"/>
    </row>
    <row r="92" spans="4:7" ht="12.75" customHeight="1">
      <c r="D92" s="4"/>
      <c r="E92" s="4"/>
      <c r="F92" s="4"/>
      <c r="G92" s="4"/>
    </row>
    <row r="93" spans="4:7" ht="12.75" customHeight="1">
      <c r="D93" s="4"/>
      <c r="E93" s="4"/>
      <c r="F93" s="4"/>
      <c r="G93" s="4"/>
    </row>
    <row r="94" spans="4:7" ht="12.75" customHeight="1">
      <c r="D94" s="4"/>
      <c r="E94" s="4"/>
      <c r="F94" s="4"/>
      <c r="G94" s="4"/>
    </row>
    <row r="95" spans="4:7" ht="12.75" customHeight="1">
      <c r="D95" s="4"/>
      <c r="E95" s="4"/>
      <c r="F95" s="4"/>
      <c r="G95" s="4"/>
    </row>
    <row r="96" spans="4:7" ht="12.75" customHeight="1">
      <c r="D96" s="4"/>
      <c r="E96" s="4"/>
      <c r="F96" s="4"/>
      <c r="G96" s="4"/>
    </row>
    <row r="97" spans="4:7" ht="12.75" customHeight="1">
      <c r="D97" s="4"/>
      <c r="E97" s="4"/>
      <c r="F97" s="4"/>
      <c r="G97" s="4"/>
    </row>
    <row r="98" spans="4:7" ht="12.75" customHeight="1">
      <c r="D98" s="4"/>
      <c r="E98" s="4"/>
      <c r="F98" s="4"/>
      <c r="G98" s="4"/>
    </row>
    <row r="99" spans="4:7" ht="12.75" customHeight="1">
      <c r="D99" s="4"/>
      <c r="E99" s="4"/>
      <c r="F99" s="4"/>
      <c r="G99" s="4"/>
    </row>
  </sheetData>
  <phoneticPr fontId="0" type="noConversion"/>
  <printOptions horizontalCentered="1"/>
  <pageMargins left="0.25" right="0.25" top="1.18" bottom="1" header="0.5" footer="0.5"/>
  <pageSetup scale="75" orientation="landscape" r:id="rId1"/>
  <headerFooter alignWithMargins="0">
    <oddHeader>&amp;A</oddHeader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YTD Budget Summary</vt:lpstr>
      <vt:lpstr>Monthly Expenses</vt:lpstr>
      <vt:lpstr>1000-Office</vt:lpstr>
      <vt:lpstr>2000-Store</vt:lpstr>
      <vt:lpstr>3000-Staffing</vt:lpstr>
      <vt:lpstr>4000-Equipment</vt:lpstr>
      <vt:lpstr>5000-Other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Matthew Hosek</cp:lastModifiedBy>
  <dcterms:created xsi:type="dcterms:W3CDTF">2006-05-19T19:55:08Z</dcterms:created>
  <dcterms:modified xsi:type="dcterms:W3CDTF">2007-04-19T23:35:48Z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